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제품 리스트 업데이트" sheetId="1" r:id="rId5"/>
  </sheets>
  <definedNames/>
  <calcPr/>
</workbook>
</file>

<file path=xl/sharedStrings.xml><?xml version="1.0" encoding="utf-8"?>
<sst xmlns="http://schemas.openxmlformats.org/spreadsheetml/2006/main" count="1635" uniqueCount="626">
  <si>
    <t>라벨업 라벨 리스트</t>
  </si>
  <si>
    <t>◀ 조해민 책임 작성 부분 ▶</t>
  </si>
  <si>
    <t>구분</t>
  </si>
  <si>
    <t>칸</t>
  </si>
  <si>
    <t>품번</t>
  </si>
  <si>
    <t>폼텍 No</t>
  </si>
  <si>
    <t>애니라벨No</t>
  </si>
  <si>
    <t>아이라벨 No</t>
  </si>
  <si>
    <t>품명</t>
  </si>
  <si>
    <t>바코드</t>
  </si>
  <si>
    <t>제품규격</t>
  </si>
  <si>
    <t>라벨수(칸)</t>
  </si>
  <si>
    <t>표기치수 
(팩/상세페이지)</t>
  </si>
  <si>
    <t>Spec (Size/mm)</t>
  </si>
  <si>
    <t>팩키지</t>
  </si>
  <si>
    <t>박스</t>
  </si>
  <si>
    <t>Sheets
 / PACK(매)</t>
  </si>
  <si>
    <t>입수량</t>
  </si>
  <si>
    <t>색상</t>
  </si>
  <si>
    <t>마진</t>
  </si>
  <si>
    <t>원산지</t>
  </si>
  <si>
    <t>기타</t>
  </si>
  <si>
    <t>바코드 등록 상품명</t>
  </si>
  <si>
    <t>상품명</t>
  </si>
  <si>
    <t>판매가</t>
  </si>
  <si>
    <t>팩바코드</t>
  </si>
  <si>
    <t>박스바코드</t>
  </si>
  <si>
    <t>Pack Size(mm)</t>
  </si>
  <si>
    <t>Box Size(mm)</t>
  </si>
  <si>
    <t>카톤박스</t>
  </si>
  <si>
    <t>상단</t>
  </si>
  <si>
    <t>좌측</t>
  </si>
  <si>
    <t>정상 소비자가</t>
  </si>
  <si>
    <t>할인가</t>
  </si>
  <si>
    <t>물류관리용 라벨</t>
  </si>
  <si>
    <t>A101-20</t>
  </si>
  <si>
    <t>V3110</t>
  </si>
  <si>
    <t>물류관리라벨</t>
  </si>
  <si>
    <t>A4</t>
  </si>
  <si>
    <t>200 x 289</t>
  </si>
  <si>
    <t>199.9 x 289.05</t>
  </si>
  <si>
    <t>230 x 315</t>
  </si>
  <si>
    <t>330 x 245 x 130</t>
  </si>
  <si>
    <t>백색</t>
  </si>
  <si>
    <t>KOREA</t>
  </si>
  <si>
    <t>A101-20/물류관리라벨1칸/20매</t>
  </si>
  <si>
    <t>A101-20 / 물류관리용 라벨 1칸 / 20매</t>
  </si>
  <si>
    <t>A101F-20</t>
  </si>
  <si>
    <t>V3110F</t>
  </si>
  <si>
    <t>210 x 297</t>
  </si>
  <si>
    <t>없음</t>
  </si>
  <si>
    <t>A101F-20/물류관리라벨1칸/20매</t>
  </si>
  <si>
    <t>A101F-20 / 물류관리용 라벨 1칸 / 20매</t>
  </si>
  <si>
    <t>A102-20</t>
  </si>
  <si>
    <t>V3120</t>
  </si>
  <si>
    <t>200 x 143.5</t>
  </si>
  <si>
    <t>199.9 x 143.51</t>
  </si>
  <si>
    <t>A102-20/물류관리라벨2칸/20매</t>
  </si>
  <si>
    <t>A102-20 / 물류관리용 라벨 2칸 / 20매</t>
  </si>
  <si>
    <t>A103-20</t>
  </si>
  <si>
    <t>V3130</t>
  </si>
  <si>
    <t>191.5 x 91</t>
  </si>
  <si>
    <t>A103-20/물류관리라벨3칸/20매</t>
  </si>
  <si>
    <t>A103-20 / 물류관리용 라벨 3칸 / 20매</t>
  </si>
  <si>
    <t>A202-20</t>
  </si>
  <si>
    <t>V3140</t>
  </si>
  <si>
    <t>98.7 x 139</t>
  </si>
  <si>
    <t>98.73 x 138.94</t>
  </si>
  <si>
    <t>A202-20/물류관리라벨4칸/20매</t>
  </si>
  <si>
    <t>A202-20 / 물류관리용 라벨 4칸 / 20매</t>
  </si>
  <si>
    <t>A203-20</t>
  </si>
  <si>
    <t>V3210</t>
  </si>
  <si>
    <t>99.1 x 93</t>
  </si>
  <si>
    <t>99.06 x 93.11</t>
  </si>
  <si>
    <t>A203-20/물류관리라벨6칸/20매</t>
  </si>
  <si>
    <t>A203-20 / 물류관리용 라벨 6칸 / 20매</t>
  </si>
  <si>
    <t>A304-20</t>
  </si>
  <si>
    <t>V3310</t>
  </si>
  <si>
    <t>63.5 x 72</t>
  </si>
  <si>
    <t>63.5 x 71.98</t>
  </si>
  <si>
    <t>A304-20/물류관리라벨12칸/20매</t>
  </si>
  <si>
    <t>A304-20 / 물류관리용 라벨 12칸 / 20매</t>
  </si>
  <si>
    <t>A101-100</t>
  </si>
  <si>
    <t>219 x 307 x 20</t>
  </si>
  <si>
    <t>460 x 320 x 125</t>
  </si>
  <si>
    <t>A101-100/물류관리라벨1칸/100매</t>
  </si>
  <si>
    <t>A101-100 / 물류관리용 라벨 1칸 / 100매</t>
  </si>
  <si>
    <t>A101-200</t>
  </si>
  <si>
    <t>219 x 307 x 35</t>
  </si>
  <si>
    <t>325 x 240 X 200</t>
  </si>
  <si>
    <t>A101-200/물류관리라벨1칸/200매</t>
  </si>
  <si>
    <t>A101-200 / 물류관리용 라벨 1칸 / 200매</t>
  </si>
  <si>
    <t>A101F-100</t>
  </si>
  <si>
    <t>A101F-100/물류관리라벨1칸/100매</t>
  </si>
  <si>
    <t>A101F-100 / 물류관리용 라벨 1칸 / 100매</t>
  </si>
  <si>
    <t>A102-100</t>
  </si>
  <si>
    <t>A102-100/물류관리라벨2칸/100매</t>
  </si>
  <si>
    <t>A102-100 / 물류관리라벨 2칸 / 100매</t>
  </si>
  <si>
    <t>A102-200</t>
  </si>
  <si>
    <t>A5</t>
  </si>
  <si>
    <t>A102-200/물류관리라벨2칸/200매</t>
  </si>
  <si>
    <t>A102-200 / 물류관리용 라벨 2칸 / 200매</t>
  </si>
  <si>
    <t>A103-100</t>
  </si>
  <si>
    <t>A103-100/물류관리라벨3칸/100매</t>
  </si>
  <si>
    <t>A103-100 / 물류관리용 라벨 3칸 / 100매</t>
  </si>
  <si>
    <t>A202-100</t>
  </si>
  <si>
    <t>A202-100/물류관리라벨4칸/100매</t>
  </si>
  <si>
    <t>A202-100 / 물류관리용 라벨 4칸 / 100매</t>
  </si>
  <si>
    <t>A203-100</t>
  </si>
  <si>
    <t>A203-100/물류관리라벨6칸/100매</t>
  </si>
  <si>
    <t>A203-100 / 물류관리용 라벨 6칸 / 100매</t>
  </si>
  <si>
    <t>A304-100</t>
  </si>
  <si>
    <t>A304-100/물류관리라벨12칸/100매</t>
  </si>
  <si>
    <t>A304-100 / 물류관리용 라벨 12칸 / 100매</t>
  </si>
  <si>
    <t>주소용라벨</t>
  </si>
  <si>
    <t>A106-20</t>
  </si>
  <si>
    <t>V3160</t>
  </si>
  <si>
    <t>120 x 43</t>
  </si>
  <si>
    <t>A106-20/주소용라벨6칸/20매</t>
  </si>
  <si>
    <t>A106-20 / 주소용 라벨 6칸 / 20매</t>
  </si>
  <si>
    <t>A204-20</t>
  </si>
  <si>
    <t>V3220</t>
  </si>
  <si>
    <t>99.1 x 67.7</t>
  </si>
  <si>
    <t>99.06 x 67.71</t>
  </si>
  <si>
    <t>A204-20/주소용라벨8칸/20매</t>
  </si>
  <si>
    <t>A204-20 / 주소용 라벨8칸 / 20매</t>
  </si>
  <si>
    <t>A205-20</t>
  </si>
  <si>
    <t>V3250</t>
  </si>
  <si>
    <t>89 x 52</t>
  </si>
  <si>
    <t>88.9 x 52</t>
  </si>
  <si>
    <t>A205-20/주소용라벨10칸/20매</t>
  </si>
  <si>
    <t>A205-20 / 주소용 라벨 10칸 / 20매</t>
  </si>
  <si>
    <t>A206-20</t>
  </si>
  <si>
    <t>V3270</t>
  </si>
  <si>
    <t>100 x 46.4</t>
  </si>
  <si>
    <t>100.0 x 46.4</t>
  </si>
  <si>
    <t>A206-20/주소용라벨12칸/20매</t>
  </si>
  <si>
    <t>A206-20 / 주소용 라벨 12칸 / 20매</t>
  </si>
  <si>
    <t>A207-20</t>
  </si>
  <si>
    <t>V3230</t>
  </si>
  <si>
    <t>99.1 x 38</t>
  </si>
  <si>
    <t>99.06 x 38.1</t>
  </si>
  <si>
    <t>A207-20/주소용라벨14칸/20매</t>
  </si>
  <si>
    <t>A207-20 / 주소용 라벨 14칸 / 20매</t>
  </si>
  <si>
    <t>A208-20</t>
  </si>
  <si>
    <t>V3240</t>
  </si>
  <si>
    <t>99.1 x 33.9</t>
  </si>
  <si>
    <t>99.06 x 33.85</t>
  </si>
  <si>
    <t>A208-20/주소용라벨16칸/20매</t>
  </si>
  <si>
    <t>A208-20 / 주소용 라벨 16칸 / 20매</t>
  </si>
  <si>
    <t>A209-20</t>
  </si>
  <si>
    <t>V3260</t>
  </si>
  <si>
    <t>100 x 30</t>
  </si>
  <si>
    <t>A209-20/주소용라벨18칸/20매</t>
  </si>
  <si>
    <t>A209-20 / 주소용 라벨 18칸 / 20매</t>
  </si>
  <si>
    <t>A306-20</t>
  </si>
  <si>
    <t>V3320</t>
  </si>
  <si>
    <t>63.5 x 46.5</t>
  </si>
  <si>
    <t>A306-20/주소용라벨18칸/20매</t>
  </si>
  <si>
    <t>A306-20 / 주소용 라벨 18칸 / 20매</t>
  </si>
  <si>
    <t>A307-20</t>
  </si>
  <si>
    <t>V3330</t>
  </si>
  <si>
    <t>63.5 x 38</t>
  </si>
  <si>
    <t>63.5 x 38.1</t>
  </si>
  <si>
    <t>A307-20/주소용라벨21칸/20매</t>
  </si>
  <si>
    <t>A307-20 / 주소용 라벨 21칸 / 20매</t>
  </si>
  <si>
    <t>A308-20</t>
  </si>
  <si>
    <t>V3340</t>
  </si>
  <si>
    <t>64 x 34</t>
  </si>
  <si>
    <t>64.0 x 33.86</t>
  </si>
  <si>
    <t>A308-20/주소용라벨24칸/20매</t>
  </si>
  <si>
    <t>A308-20 / 주소용 라벨 24칸 / 20매</t>
  </si>
  <si>
    <t>A106-100</t>
  </si>
  <si>
    <t>A106-100/주소용라벨6칸/100매</t>
  </si>
  <si>
    <t>A106-100 / 주소용 라벨 6칸 / 100매</t>
  </si>
  <si>
    <t>A204-100</t>
  </si>
  <si>
    <t>A204-100/주소용라벨8칸/100매</t>
  </si>
  <si>
    <t>A204-100 / 주소용 라벨 8칸 / 100매</t>
  </si>
  <si>
    <t>A204-200</t>
  </si>
  <si>
    <t>A204-200/주소용라벨8칸/200매</t>
  </si>
  <si>
    <t>A204-200 / 주소용 라벨 8칸 / 200매</t>
  </si>
  <si>
    <t>A205-100</t>
  </si>
  <si>
    <t>88.9 x 52.0</t>
  </si>
  <si>
    <t>A205-100/주소용라벨10칸/100매</t>
  </si>
  <si>
    <t>A205-100 / 주소용 라벨 10칸 / 100매</t>
  </si>
  <si>
    <t>A206-100</t>
  </si>
  <si>
    <t>A206-100/주소용라벨12칸/100매</t>
  </si>
  <si>
    <t>A206-100 / 주소용 라벨 12칸 / 100매</t>
  </si>
  <si>
    <t>A207-100</t>
  </si>
  <si>
    <t>A207-100/주소용라벨14칸/100매</t>
  </si>
  <si>
    <t>A207-100 / 주소용 라벨 14칸 / 100매</t>
  </si>
  <si>
    <t>A208-100</t>
  </si>
  <si>
    <t>A208-100/주소용라벨16칸/100매</t>
  </si>
  <si>
    <t>A208-100 / 주소용 라벨 16칸 / 100매</t>
  </si>
  <si>
    <t>A208-200</t>
  </si>
  <si>
    <t>A208-200/주소용라벨16칸/200매</t>
  </si>
  <si>
    <t>A208-200 / 주소용 라벨 16칸 / 200매</t>
  </si>
  <si>
    <t>A209-100</t>
  </si>
  <si>
    <t>100.0 x 30.0</t>
  </si>
  <si>
    <t>A209-100/주소용라벨18칸/100매</t>
  </si>
  <si>
    <t>A209-100 / 주소용 라벨 18칸 / 100매</t>
  </si>
  <si>
    <t>A306-100</t>
  </si>
  <si>
    <t>A306-100/주소용라벨18칸/100매</t>
  </si>
  <si>
    <t>A306-100 / 주소용 라벨 18칸 / 100매</t>
  </si>
  <si>
    <t>A307-100</t>
  </si>
  <si>
    <t>A307-100/주소용라벨21칸/100매</t>
  </si>
  <si>
    <t>A307-100 / 주소용 라벨 21칸 / 100매</t>
  </si>
  <si>
    <t>A308-100</t>
  </si>
  <si>
    <t>A308-100/주소용라벨24칸/100매</t>
  </si>
  <si>
    <t>A308-100 / 주소용 라벨 24칸 / 100매</t>
  </si>
  <si>
    <t>바코드용라벨</t>
  </si>
  <si>
    <t>A309-20</t>
  </si>
  <si>
    <t>V3350</t>
  </si>
  <si>
    <t>바코드 라벨</t>
  </si>
  <si>
    <t>62.7 x 30</t>
  </si>
  <si>
    <t>62.7 x 30.1</t>
  </si>
  <si>
    <t>A309-20/바코드용라벨27칸/20매</t>
  </si>
  <si>
    <t>A309-20 / 바코드용 라벨 27칸 / 20매</t>
  </si>
  <si>
    <t>A410-20</t>
  </si>
  <si>
    <t>V3410</t>
  </si>
  <si>
    <t>47 x 27</t>
  </si>
  <si>
    <t>47 x 26.9</t>
  </si>
  <si>
    <t>A410-20/바코드용라벨40칸/20매</t>
  </si>
  <si>
    <t>A410-20 / 바코드용 라벨 40칸 / 20매</t>
  </si>
  <si>
    <t>A412-20</t>
  </si>
  <si>
    <t>V3480</t>
  </si>
  <si>
    <t>46 x 21</t>
  </si>
  <si>
    <t>45.7 x 21.2</t>
  </si>
  <si>
    <t>A412-20/바코드용라벨48칸/20매</t>
  </si>
  <si>
    <t>A412-20 / 바코드용 라벨 48칸 / 20매</t>
  </si>
  <si>
    <t>A609-20</t>
  </si>
  <si>
    <t>V3610</t>
  </si>
  <si>
    <t>26 x 29.5</t>
  </si>
  <si>
    <t>A609-20/바코드용라벨54칸/20매</t>
  </si>
  <si>
    <t>A609-20 / 바코드용 라벨 54칸 / 20매</t>
  </si>
  <si>
    <t>A512-20</t>
  </si>
  <si>
    <t>V3520</t>
  </si>
  <si>
    <t>38 x 19</t>
  </si>
  <si>
    <t>38.0 x 19.2</t>
  </si>
  <si>
    <t>A512-20/바코드용라벨60칸/20매</t>
  </si>
  <si>
    <t>A512-20 / 바코드용 라벨 60칸 / 20매</t>
  </si>
  <si>
    <t>A513-20</t>
  </si>
  <si>
    <t>V3510</t>
  </si>
  <si>
    <t>38 x 21.1</t>
  </si>
  <si>
    <t>38.1 x 21.08</t>
  </si>
  <si>
    <t>A513-20/바코드용라벨65칸/20매</t>
  </si>
  <si>
    <t>A513-20 / 바코드용 라벨 65칸 / 20매</t>
  </si>
  <si>
    <t>A309-100</t>
  </si>
  <si>
    <t>A309-100/바코드용라벨27칸/100매</t>
  </si>
  <si>
    <t>A309-100 / 바코드용 라벨 27칸 / 100매</t>
  </si>
  <si>
    <t>A410-100</t>
  </si>
  <si>
    <t>A410-100/바코드용라벨40칸/100매</t>
  </si>
  <si>
    <t>A410-100 / 바코드용 라벨 40칸 / 100매</t>
  </si>
  <si>
    <t>A412-100</t>
  </si>
  <si>
    <t>45.7 x 21</t>
  </si>
  <si>
    <t>A412-100/바코드용라벨48칸/100매</t>
  </si>
  <si>
    <t>A412-100 / 바코드용 라벨 48칸 / 100매</t>
  </si>
  <si>
    <t>A609-100</t>
  </si>
  <si>
    <t>A609-100/바코드용라벨54칸/100매</t>
  </si>
  <si>
    <t>A609-100 / 바코드용 라벨 54칸 / 100매</t>
  </si>
  <si>
    <t>A512-100</t>
  </si>
  <si>
    <t>A512-100/바코드용라벨60칸/100매</t>
  </si>
  <si>
    <t>A512-100 / 바코드용 라벨 60칸 / 100매</t>
  </si>
  <si>
    <t>A513-100</t>
  </si>
  <si>
    <t>A513-100/바코드용라벨65칸/100매</t>
  </si>
  <si>
    <t>A513-100 / 바코드용 라벨 65칸 / 100매</t>
  </si>
  <si>
    <t>인덱스용라벨</t>
  </si>
  <si>
    <t>A105-20</t>
  </si>
  <si>
    <t>V3150</t>
  </si>
  <si>
    <t>인덱스라벨</t>
  </si>
  <si>
    <t>190 x 50</t>
  </si>
  <si>
    <t>A105-20/인덱스용라벨5칸/20매</t>
  </si>
  <si>
    <t>A105-20 / 인덱스용 라벨 5칸 / 20매</t>
  </si>
  <si>
    <t>A402-20</t>
  </si>
  <si>
    <t>V3280</t>
  </si>
  <si>
    <t>48 x 130</t>
  </si>
  <si>
    <t>A402-20/인덱스용라벨8칸/20매</t>
  </si>
  <si>
    <t>A402-20 / 인덱스용 라벨 8칸 / 20매</t>
  </si>
  <si>
    <t>A109-20</t>
  </si>
  <si>
    <t>V3190</t>
  </si>
  <si>
    <t>150 x 28</t>
  </si>
  <si>
    <t>A109-20/인덱스용라벨9칸/20매</t>
  </si>
  <si>
    <t>A109-20 / 인덱스용 라벨 9칸 / 20매</t>
  </si>
  <si>
    <t>A304R-20</t>
  </si>
  <si>
    <t>V3760</t>
  </si>
  <si>
    <t>63.5 x 63.5</t>
  </si>
  <si>
    <t>A304R-20/인덱스용라벨12칸/20매</t>
  </si>
  <si>
    <t>A304R-20 / 인덱스용 라벨 12칸 / 20매</t>
  </si>
  <si>
    <t>A210-20</t>
  </si>
  <si>
    <t>V3470</t>
  </si>
  <si>
    <t>84 x 28</t>
  </si>
  <si>
    <t>A210-20/인덱스용라벨20칸/20매</t>
  </si>
  <si>
    <t>A210-20 / 인덱스용 라벨 20칸 / 20매</t>
  </si>
  <si>
    <t>A406R-20</t>
  </si>
  <si>
    <t>V3630</t>
  </si>
  <si>
    <t>40 x40</t>
  </si>
  <si>
    <t>A406R-20/인덱스용라벨24칸/20매</t>
  </si>
  <si>
    <t>A406R-20 / 인덱스용 라벨 24칸 / 20매</t>
  </si>
  <si>
    <t>A311-20</t>
  </si>
  <si>
    <t>V3490</t>
  </si>
  <si>
    <t>62 x 24</t>
  </si>
  <si>
    <t>A311-20/인덱스용라벨33칸/20매</t>
  </si>
  <si>
    <t>A311-20 / 인덱스용 라벨 33칸 / 20매</t>
  </si>
  <si>
    <t>A218-20</t>
  </si>
  <si>
    <t>V3460</t>
  </si>
  <si>
    <t>95 x 14</t>
  </si>
  <si>
    <t>A218-20/인덱스용라벨36칸/20매</t>
  </si>
  <si>
    <t>A218-20 / 인덱스용 라벨 36칸 / 20매</t>
  </si>
  <si>
    <t>A318-20</t>
  </si>
  <si>
    <t>V3540</t>
  </si>
  <si>
    <t>62.7 x 15</t>
  </si>
  <si>
    <t>A318-20/인덱스용라벨54칸/20매</t>
  </si>
  <si>
    <t>A318-20 / 인덱스용 라벨 54칸 / 20매</t>
  </si>
  <si>
    <t>A421-20</t>
  </si>
  <si>
    <t>V3420</t>
  </si>
  <si>
    <t>46 x 11</t>
  </si>
  <si>
    <t>A421-20/인덱스용라벨84칸/20매</t>
  </si>
  <si>
    <t>A421-20 / 인덱스용 라벨 84칸 / 20매</t>
  </si>
  <si>
    <t>A616-20</t>
  </si>
  <si>
    <t>V3530</t>
  </si>
  <si>
    <t>30 x 14</t>
  </si>
  <si>
    <t>A616-20/인덱스용라벨96칸/20매</t>
  </si>
  <si>
    <t>A616-20 / 인덱스용 라벨 96칸 / 20매</t>
  </si>
  <si>
    <t>A524-20</t>
  </si>
  <si>
    <t>V3430</t>
  </si>
  <si>
    <t>32 x 8</t>
  </si>
  <si>
    <t>A524-20/인덱스용라벨120칸/20매</t>
  </si>
  <si>
    <t>A524-20 / 인덱스용 라벨 120칸 / 20매</t>
  </si>
  <si>
    <t>A529-20</t>
  </si>
  <si>
    <t>V3550</t>
  </si>
  <si>
    <t>30 x 9</t>
  </si>
  <si>
    <t>A529-20/인덱스용라벨145칸/20매</t>
  </si>
  <si>
    <t>A529-20 / 인덱스용 라벨 145칸 / 20매</t>
  </si>
  <si>
    <t>A827-20</t>
  </si>
  <si>
    <t>V3570</t>
  </si>
  <si>
    <t>20 x 10</t>
  </si>
  <si>
    <t>A827-20/인덱스용라벨216칸/20매</t>
  </si>
  <si>
    <t>A827-20 / 인덱스용 라벨 216칸 / 20매</t>
  </si>
  <si>
    <t>A105-100</t>
  </si>
  <si>
    <t>A105-100/인덱스용라벨5칸/100매</t>
  </si>
  <si>
    <t>A105-100 / 인덱스용 라벨 5칸 / 100매</t>
  </si>
  <si>
    <t>A402-100</t>
  </si>
  <si>
    <t>A402-100/인덱스용라벨8칸/100매</t>
  </si>
  <si>
    <t>A402-100 / 인덱스용라벨 8칸 / 100매</t>
  </si>
  <si>
    <t>A109-100</t>
  </si>
  <si>
    <t>A109-100/인덱스용라벨9칸/100매</t>
  </si>
  <si>
    <t>A109-100 / 인덱스용 라벨 9칸 / 100매</t>
  </si>
  <si>
    <t>A304R-100</t>
  </si>
  <si>
    <t>A304R-100/인덱스용라벨12칸/100매</t>
  </si>
  <si>
    <t>A304R-100 / 인덱스용 라벨 12칸 / 100매</t>
  </si>
  <si>
    <t>A210-100</t>
  </si>
  <si>
    <t>A210-100/인덱스용라벨20칸/100매</t>
  </si>
  <si>
    <t>A210-100 / 인덱스용 라벨 20칸 / 100매</t>
  </si>
  <si>
    <t>A406R-100</t>
  </si>
  <si>
    <t>A406R-100/인덱스용라벨24칸/100매</t>
  </si>
  <si>
    <t>A406R-100 / 인덱스용 라벨 24칸 / 100매</t>
  </si>
  <si>
    <t>A311-100</t>
  </si>
  <si>
    <t>461 x 320 x 125</t>
  </si>
  <si>
    <t>A311-100/인덱스용라벨33칸/100매</t>
  </si>
  <si>
    <t>A311-100 / 인덱스용 라벨 33칸 / 100매</t>
  </si>
  <si>
    <t>A218-100</t>
  </si>
  <si>
    <t>A218-100/인덱스용라벨36칸/100매</t>
  </si>
  <si>
    <t>A218-100 / 인덱스용 라벨 36칸 / 100매</t>
  </si>
  <si>
    <t>A318-100</t>
  </si>
  <si>
    <t>A318-100/인덱스용라벨54칸/100매</t>
  </si>
  <si>
    <t>A318-100 / 인덱스용 라벨 54칸 / 100매</t>
  </si>
  <si>
    <t>A421-100</t>
  </si>
  <si>
    <t>A421-100/인덱스용라벨84칸/100매</t>
  </si>
  <si>
    <t>A421-100 / 인덱스용 라벨 84칸 / 100매</t>
  </si>
  <si>
    <t>A616-100</t>
  </si>
  <si>
    <t>A616-100/인덱스용라벨96칸/100매</t>
  </si>
  <si>
    <t>A616-100 / 인덱스용 라벨 96칸 / 100매</t>
  </si>
  <si>
    <t>A524-100</t>
  </si>
  <si>
    <t>A524-100/인덱스용라벨120칸/100매</t>
  </si>
  <si>
    <t>A524-100 / 인덱스용 라벨 120칸 / 100매</t>
  </si>
  <si>
    <t>A529-100</t>
  </si>
  <si>
    <t>A529-100/인덱스용라벨145칸/100매</t>
  </si>
  <si>
    <t>A529-100 / 인덱스용 라벨 145칸 / 100매</t>
  </si>
  <si>
    <t>A827-100</t>
  </si>
  <si>
    <t>A827-100/인덱스용라벨216칸/100매</t>
  </si>
  <si>
    <t>A827-100 / 인덱스용 라벨 216칸 / 100매</t>
  </si>
  <si>
    <t>정부문서</t>
  </si>
  <si>
    <t>AD104-20</t>
  </si>
  <si>
    <t>V4320</t>
  </si>
  <si>
    <t>정부문서화일</t>
  </si>
  <si>
    <t>4set</t>
  </si>
  <si>
    <t>AD104-20/정부문서화일라벨4SET/20매</t>
  </si>
  <si>
    <t>AD104-20 / 정부문서화일 라벨 4SET / 20매</t>
  </si>
  <si>
    <t>AD104-50</t>
  </si>
  <si>
    <t>215 x 300 x 12</t>
  </si>
  <si>
    <t>329 x 245 x 130</t>
  </si>
  <si>
    <t>AD104-50/정부문서화일라벨4SET/50매</t>
  </si>
  <si>
    <t>AD104-50 / 정부문서화일 라벨 4SET / 50매</t>
  </si>
  <si>
    <t>AD102-20</t>
  </si>
  <si>
    <t>V4330</t>
  </si>
  <si>
    <t>2set</t>
  </si>
  <si>
    <t>AD102-20/정부문서화일라벨2SET/20매</t>
  </si>
  <si>
    <t>AD102-20 / 정부문서화일 라벨 2SET / 20매</t>
  </si>
  <si>
    <t>AD102-50</t>
  </si>
  <si>
    <t>AD102-50/정부문서화일라벨2SET/50매</t>
  </si>
  <si>
    <t>AD102-50 / 정부문서화일 라벨 2SET / 50매</t>
  </si>
  <si>
    <t>광택라벨</t>
  </si>
  <si>
    <t>LG101-100</t>
  </si>
  <si>
    <t>V8110</t>
  </si>
  <si>
    <t>215 x 307 x 17</t>
  </si>
  <si>
    <t>325 x 240 x 200</t>
  </si>
  <si>
    <t>광택백색</t>
  </si>
  <si>
    <t>LG101-100/광택라벨1칸/100매</t>
  </si>
  <si>
    <t>LG101-100 / 광택 라벨 1칸 / 100매</t>
  </si>
  <si>
    <t>LG102-100</t>
  </si>
  <si>
    <t>V8120</t>
  </si>
  <si>
    <t>LG102-100/광택라벨2칸/100매</t>
  </si>
  <si>
    <t>LG102-100 / 광택 라벨 2칸 / 100매</t>
  </si>
  <si>
    <t>LG204-100</t>
  </si>
  <si>
    <t>V8220</t>
  </si>
  <si>
    <t>99.1 x 68</t>
  </si>
  <si>
    <t>LG204-100/광택라벨8칸/100매</t>
  </si>
  <si>
    <t>LG204-100 / 광택 라벨 8칸 / 100매</t>
  </si>
  <si>
    <t>LG205-100</t>
  </si>
  <si>
    <t>V8250</t>
  </si>
  <si>
    <t>LG205-100/광택라벨10칸/100매</t>
  </si>
  <si>
    <t>LG205-100 / 광택 라벨 10칸 / 100매</t>
  </si>
  <si>
    <t>LG208-100</t>
  </si>
  <si>
    <t>V8240</t>
  </si>
  <si>
    <t>LG208-100/광택라벨16칸/100매</t>
  </si>
  <si>
    <t>LG208-100 / 광택 라벨 16칸 / 100매</t>
  </si>
  <si>
    <t>LG307-100</t>
  </si>
  <si>
    <t>V8330</t>
  </si>
  <si>
    <t>LG307-100/광택라벨21칸/100매</t>
  </si>
  <si>
    <t>LG307-100 / 광택 라벨 21칸 / 100매</t>
  </si>
  <si>
    <t>방수라벨</t>
  </si>
  <si>
    <t>LW101-10</t>
  </si>
  <si>
    <t>V8910</t>
  </si>
  <si>
    <t>LW101-10/방수라벨1칸/10매</t>
  </si>
  <si>
    <t>LW101-10 / 방수 라벨 1칸 / 10매</t>
  </si>
  <si>
    <t>LW101-50</t>
  </si>
  <si>
    <t>LW101-50/방수라벨1칸/50매</t>
  </si>
  <si>
    <t>LW101-50 / 방수 라벨 1칸 / 50매</t>
  </si>
  <si>
    <t>LW102-10</t>
  </si>
  <si>
    <t>V8950</t>
  </si>
  <si>
    <t>LW102-10/방수라벨2칸/10매</t>
  </si>
  <si>
    <t>LW102-10 / 방수 라벨 2칸 / 10매</t>
  </si>
  <si>
    <t>LW202-10</t>
  </si>
  <si>
    <t xml:space="preserve"> V8960</t>
  </si>
  <si>
    <t>LW202-10/방수라벨4칸/10매</t>
  </si>
  <si>
    <t>LW202-10 / 방수 라벨 4칸 / 10매</t>
  </si>
  <si>
    <t>LW204-10</t>
  </si>
  <si>
    <t>LW204-10/방수라벨8칸/10매</t>
  </si>
  <si>
    <t>LW204-10 / 방수 라벨 8칸 / 10매</t>
  </si>
  <si>
    <t>LW208-10</t>
  </si>
  <si>
    <t>V8980</t>
  </si>
  <si>
    <t>LW208-10/방수라벨16칸/10매</t>
  </si>
  <si>
    <t>LW208-10 / 방수 라벨 16칸 / 10매</t>
  </si>
  <si>
    <t>LW307-10</t>
  </si>
  <si>
    <t>V8920</t>
  </si>
  <si>
    <t>LW307-10/방수라벨21칸/10매</t>
  </si>
  <si>
    <t>LW307-10 / 방수 라벨 21칸 / 10매</t>
  </si>
  <si>
    <t>LW410-10</t>
  </si>
  <si>
    <t>V8940</t>
  </si>
  <si>
    <t>330 x 245 x 150</t>
  </si>
  <si>
    <t>LW410-10/방수라벨40칸/10매</t>
  </si>
  <si>
    <t>LW410-10 / 방수 라벨 40칸 / 10매</t>
  </si>
  <si>
    <t>LW512-10</t>
  </si>
  <si>
    <t>V8990</t>
  </si>
  <si>
    <t>LW512-10/방수라벨60칸/10매</t>
  </si>
  <si>
    <t>LW512-10 / 방수 라벨 60칸 / 10매</t>
  </si>
  <si>
    <t>반투명라벨</t>
  </si>
  <si>
    <t>LT101-10</t>
  </si>
  <si>
    <t>V3950</t>
  </si>
  <si>
    <t>반투명</t>
  </si>
  <si>
    <t>SPAIN</t>
  </si>
  <si>
    <t>레이저용</t>
  </si>
  <si>
    <t>LT101-10/반투명라벨1칸/10매</t>
  </si>
  <si>
    <t>LT101-10 / 반투명 라벨 1칸 / 10매</t>
  </si>
  <si>
    <t>LT101-50</t>
  </si>
  <si>
    <t>LT101-50/반투명라벨1칸/50매</t>
  </si>
  <si>
    <t>LT101-50 / 반투명 라벨 1칸 / 50매</t>
  </si>
  <si>
    <t>LT102-10</t>
  </si>
  <si>
    <t>LT102-10/반투명라벨2칸/10매</t>
  </si>
  <si>
    <t>LT102-10 / 반투명 라벨 2칸 / 10매</t>
  </si>
  <si>
    <t>LT204-10</t>
  </si>
  <si>
    <t>V3910</t>
  </si>
  <si>
    <t>LT204-10/반투명라벨8칸/10매</t>
  </si>
  <si>
    <t>LT204-10 / 반투명 라벨 8칸 / 10매</t>
  </si>
  <si>
    <t>LT208-10</t>
  </si>
  <si>
    <t>V3930</t>
  </si>
  <si>
    <t>LT208-10/반투명라벨16칸/10매</t>
  </si>
  <si>
    <t>LT208-10 / 반투명 라벨 16칸 / 10매</t>
  </si>
  <si>
    <t>LT307-10</t>
  </si>
  <si>
    <t>V3970</t>
  </si>
  <si>
    <t>LT307-10/반투명라벨21칸/10매</t>
  </si>
  <si>
    <t>LT307-10 / 반투명 라벨 21칸 / 10매</t>
  </si>
  <si>
    <t>잉크젯 투명라벨</t>
  </si>
  <si>
    <t>IC101F-5</t>
  </si>
  <si>
    <t>V3960</t>
  </si>
  <si>
    <t>투명</t>
  </si>
  <si>
    <t>IC101F-5/잉크젯 투명라벨1칸/5매</t>
  </si>
  <si>
    <t>IC101F-5 / 잉크젯 투명 라벨 1칸 / 5매</t>
  </si>
  <si>
    <t>IC101F-50</t>
  </si>
  <si>
    <t>IC101F-50/잉크젯 투명라벨1칸/50매</t>
  </si>
  <si>
    <t>IC101F-50 / 잉크젯 투명 라벨 1칸 / 50매</t>
  </si>
  <si>
    <t>IC102-5</t>
  </si>
  <si>
    <t>IC102-5/잉크젯 투명라벨2칸/5매</t>
  </si>
  <si>
    <t>IC102-5 / 잉크젯 투명 라벨 2칸 / 5매</t>
  </si>
  <si>
    <t>IC204-5</t>
  </si>
  <si>
    <t>IC204-5/잉크젯 투명라벨8칸/5매</t>
  </si>
  <si>
    <t>IC204-5 / 잉크젯 투명 라벨 8칸 / 5매</t>
  </si>
  <si>
    <t>IC208-5</t>
  </si>
  <si>
    <t>V3980</t>
  </si>
  <si>
    <t>IC208-5/잉크젯 투명라벨16칸/5매</t>
  </si>
  <si>
    <t>IC208-5 / 잉크젯 투명 라벨16칸 / 5매</t>
  </si>
  <si>
    <t>IC307-5</t>
  </si>
  <si>
    <t>V3990</t>
  </si>
  <si>
    <t>IC307-5/잉크젯 투명라벨21칸/5매</t>
  </si>
  <si>
    <t>IC307-5 / 잉크젯 투명 라벨 21칸 / 5매</t>
  </si>
  <si>
    <t>레이저 투명라벨</t>
  </si>
  <si>
    <t>LC101-10</t>
  </si>
  <si>
    <t>V3965</t>
  </si>
  <si>
    <t>210 x 289</t>
  </si>
  <si>
    <t>LC101-10/레이저 투명라벨1칸/10매</t>
  </si>
  <si>
    <t>LC101-10 / 레이저 투명 라벨 1칸 / 10매</t>
  </si>
  <si>
    <t>LC101-50</t>
  </si>
  <si>
    <t>LC101-50/레이저 투명라벨1칸/50매</t>
  </si>
  <si>
    <t>LC101-50 / 레이저 투명 라벨 1칸 / 50매</t>
  </si>
  <si>
    <t>LC102-10</t>
  </si>
  <si>
    <t>LC102-10/레이저 투명라벨2칸/10매</t>
  </si>
  <si>
    <t>LC102-10 / 레이저 투명 라벨 2칸 / 10매</t>
  </si>
  <si>
    <t>LC204-10</t>
  </si>
  <si>
    <t>LC204-10/레이저 투명라벨8칸/10매</t>
  </si>
  <si>
    <t>LC204-10 / 레이저 투명 라벨 8칸 / 10매</t>
  </si>
  <si>
    <t>LC208-10</t>
  </si>
  <si>
    <t>V3985</t>
  </si>
  <si>
    <t>LC208-10/레이저 투명라벨16칸/10매</t>
  </si>
  <si>
    <t>LC208-10 / 레이저 투명 라벨 16칸 / 10매</t>
  </si>
  <si>
    <t>LC307-10</t>
  </si>
  <si>
    <t>V3995</t>
  </si>
  <si>
    <t>LC307-10/레이저 투명라벨21칸/10매</t>
  </si>
  <si>
    <t>LC307-10 / 레이저 투명 라벨 21칸 / 10매</t>
  </si>
  <si>
    <t>보호용 필름</t>
  </si>
  <si>
    <t>PC101-10</t>
  </si>
  <si>
    <t>F2010</t>
  </si>
  <si>
    <t>보호용필름</t>
  </si>
  <si>
    <t>N/A</t>
  </si>
  <si>
    <t>PC101-10/보호용필름라벨1칸/10매</t>
  </si>
  <si>
    <t>PC101-10 / 보호용필름 라벨 1칸 / 10매</t>
  </si>
  <si>
    <t>PC303-10</t>
  </si>
  <si>
    <t>F2020</t>
  </si>
  <si>
    <t>42 x 107</t>
  </si>
  <si>
    <t>PC303-10/보호용필름라벨9칸/10매</t>
  </si>
  <si>
    <t>PC303-10 / 보호용필름 라벨 9칸 / 10매</t>
  </si>
  <si>
    <t>PC404-10</t>
  </si>
  <si>
    <t>F2030</t>
  </si>
  <si>
    <t>44 x 70</t>
  </si>
  <si>
    <t>PC404-10/보호용필름라벨16칸/10매</t>
  </si>
  <si>
    <t>PC404-10 / 보호용필름 라벨 16칸 / 10매</t>
  </si>
  <si>
    <t>PC505-10</t>
  </si>
  <si>
    <t>F2040</t>
  </si>
  <si>
    <t>33 x 53</t>
  </si>
  <si>
    <t>PC505-10/보호용필름라벨25칸/10매</t>
  </si>
  <si>
    <t>PC505-10 / 보호용필름 라벨 25칸 / 10매</t>
  </si>
  <si>
    <t>컬러라벨</t>
  </si>
  <si>
    <t>LN101R-10</t>
  </si>
  <si>
    <t>V3815</t>
  </si>
  <si>
    <t>형광컬러(빨강)</t>
  </si>
  <si>
    <t>형광빨강</t>
  </si>
  <si>
    <t>LN101R-10/형광컬러(빨강)1칸/10매</t>
  </si>
  <si>
    <t>LN101R-10 / 컬러 라벨 (네온 레드) 1칸 / 10매</t>
  </si>
  <si>
    <t>LN101G-10</t>
  </si>
  <si>
    <t>V3825</t>
  </si>
  <si>
    <t>형광컬러(초록)</t>
  </si>
  <si>
    <t>형광초록</t>
  </si>
  <si>
    <t>LN101G-10/형광컬러(초록)1칸/10매</t>
  </si>
  <si>
    <t>LN101G-10 / 컬러 라벨 (네온 그린) 1칸 / 10매</t>
  </si>
  <si>
    <t>LN101Y-10</t>
  </si>
  <si>
    <t>V3835</t>
  </si>
  <si>
    <t>형광컬러(노랑)</t>
  </si>
  <si>
    <t>형광노랑</t>
  </si>
  <si>
    <t>LN101Y-10/형광컬러(노랑)1칸/10매</t>
  </si>
  <si>
    <t>LN101Y-10 / 컬러 라벨 (네온 옐로우) 1칸 / 10매</t>
  </si>
  <si>
    <t>파스텔 컬러 라벨</t>
  </si>
  <si>
    <t>AP101Y-20</t>
  </si>
  <si>
    <t>V3845</t>
  </si>
  <si>
    <t>파스텔 노랑</t>
  </si>
  <si>
    <t>연노랑</t>
  </si>
  <si>
    <t>AP101Y-20/파스텔 노랑1칸/20매</t>
  </si>
  <si>
    <t>AP101Y-20 / 컬러 라벨 (파스텔 옐로우) 1칸 / 20매</t>
  </si>
  <si>
    <t>AP101G-20</t>
  </si>
  <si>
    <t>V3855</t>
  </si>
  <si>
    <t>파스텔 연두</t>
  </si>
  <si>
    <t>연초록</t>
  </si>
  <si>
    <t>AP101G-20/파스텔 연두1칸/20매</t>
  </si>
  <si>
    <t>AP101G-20 / 컬러 라벨 (파스텔 라이트 그린) 1칸 / 20매</t>
  </si>
  <si>
    <t>AP101P-20</t>
  </si>
  <si>
    <t>V3865</t>
  </si>
  <si>
    <t>파스텔 핑크</t>
  </si>
  <si>
    <t>연분홍</t>
  </si>
  <si>
    <t>AP101P-20/파스텔 핑크1칸/20매</t>
  </si>
  <si>
    <t>AP101P-20 / 컬러 라벨 (파스텔 핑크) 1칸 / 20매</t>
  </si>
  <si>
    <t>AP101B-20</t>
  </si>
  <si>
    <t>V3875</t>
  </si>
  <si>
    <t>파스텔 파랑</t>
  </si>
  <si>
    <t>연파랑</t>
  </si>
  <si>
    <t>AP101B-20/파스텔 파랑1칸/20매</t>
  </si>
  <si>
    <t>AP101B-20 / 컬러 라벨 (파스텔 블루) 1칸 / 20매</t>
  </si>
  <si>
    <t>크라프트 라벨</t>
  </si>
  <si>
    <t>AK101-10</t>
  </si>
  <si>
    <t>V3010</t>
  </si>
  <si>
    <t>크라프트</t>
  </si>
  <si>
    <t>AK101-10/크라프트1칸/10매</t>
  </si>
  <si>
    <t>AK101-10 / 크라프트 라벨 1칸 / 10매</t>
  </si>
  <si>
    <t>AK101-100</t>
  </si>
  <si>
    <t>AK101-100/크라프트1칸/100매</t>
  </si>
  <si>
    <t>AK101-100 / 크라프트 라벨 1칸 / 100매</t>
  </si>
  <si>
    <t>AK102-10</t>
  </si>
  <si>
    <t>V3030</t>
  </si>
  <si>
    <t>AK102-10/크라프트2칸/10매</t>
  </si>
  <si>
    <t>AK102-10 / 크라프트 라벨 2칸 / 10매</t>
  </si>
  <si>
    <t>AK207-10</t>
  </si>
  <si>
    <t>V3020</t>
  </si>
  <si>
    <t>AK207-10/크라프트14칸/10매</t>
  </si>
  <si>
    <t>AK207-10 / 크라프트 라벨 14칸 / 10매</t>
  </si>
  <si>
    <t>AK307-10</t>
  </si>
  <si>
    <t>V3050</t>
  </si>
  <si>
    <t>AK307-10/크라프트21칸/10매</t>
  </si>
  <si>
    <t>AK307-10 / 크라프트 라벨 21칸 / 10매</t>
  </si>
  <si>
    <t>127 sku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</si>
</sst>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년 m월"/>
  </numFmts>
  <fonts count="19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  <font>
      <b/>
      <color theme="1"/>
      <name val="&quot;맑은 고딕&quot;"/>
    </font>
    <font/>
    <font>
      <b/>
      <color rgb="FF000000"/>
      <name val="&quot;맑은 고딕&quot;"/>
    </font>
    <font>
      <b/>
      <color theme="1"/>
      <name val="Arial"/>
    </font>
    <font>
      <b/>
      <sz val="10.0"/>
      <color rgb="FFFFFFFF"/>
      <name val="&quot;맑은 고딕&quot;"/>
    </font>
    <font>
      <b/>
      <sz val="10.0"/>
      <color theme="1"/>
      <name val="&quot;맑은 고딕&quot;"/>
    </font>
    <font>
      <sz val="10.0"/>
      <color theme="1"/>
      <name val="&quot;맑은 고딕&quot;"/>
    </font>
    <font>
      <sz val="10.0"/>
      <color rgb="FF000000"/>
      <name val="Arial"/>
    </font>
    <font>
      <sz val="10.0"/>
      <color rgb="FF000000"/>
      <name val="&quot;맑은 고딕&quot;"/>
    </font>
    <font>
      <sz val="8.0"/>
      <color theme="1"/>
      <name val="&quot;맑은 고딕&quot;"/>
    </font>
    <font>
      <color theme="1"/>
      <name val="Arial"/>
    </font>
    <font>
      <b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0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984956"/>
        <bgColor rgb="FF984956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745BA7"/>
        <bgColor rgb="FF745BA7"/>
      </patternFill>
    </fill>
    <fill>
      <patternFill patternType="solid">
        <fgColor rgb="FF05988B"/>
        <bgColor rgb="FF05988B"/>
      </patternFill>
    </fill>
    <fill>
      <patternFill patternType="solid">
        <fgColor rgb="FF96989B"/>
        <bgColor rgb="FF96989B"/>
      </patternFill>
    </fill>
    <fill>
      <patternFill patternType="solid">
        <fgColor rgb="FFD96F28"/>
        <bgColor rgb="FFD96F28"/>
      </patternFill>
    </fill>
    <fill>
      <patternFill patternType="solid">
        <fgColor rgb="FF285136"/>
        <bgColor rgb="FF285136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double">
        <color rgb="FF000000"/>
      </top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double">
        <color rgb="FF000000"/>
      </top>
    </border>
  </borders>
  <cellStyleXfs count="1">
    <xf borderId="0" fillId="0" fontId="0" numFmtId="0" applyAlignment="1" applyFont="1"/>
  </cellStyleXfs>
  <cellXfs count="1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readingOrder="0" vertical="center"/>
    </xf>
    <xf borderId="1" fillId="2" fontId="4" numFmtId="0" xfId="0" applyAlignment="1" applyBorder="1" applyFill="1" applyFont="1">
      <alignment horizontal="center" readingOrder="0" vertical="center"/>
    </xf>
    <xf borderId="1" fillId="3" fontId="4" numFmtId="0" xfId="0" applyAlignment="1" applyBorder="1" applyFill="1" applyFont="1">
      <alignment horizontal="center" readingOrder="0" vertical="center"/>
    </xf>
    <xf borderId="2" fillId="2" fontId="4" numFmtId="0" xfId="0" applyAlignment="1" applyBorder="1" applyFill="1" applyFont="1">
      <alignment horizontal="center" readingOrder="0" vertical="center"/>
    </xf>
    <xf borderId="3" fillId="0" fontId="5" numFmtId="0" xfId="0" applyBorder="1" applyFont="1"/>
    <xf borderId="1" fillId="2" fontId="6" numFmtId="0" xfId="0" applyAlignment="1" applyBorder="1" applyFill="1" applyFont="1">
      <alignment horizontal="center" readingOrder="0" vertical="center"/>
    </xf>
    <xf borderId="3" fillId="2" fontId="6" numFmtId="0" xfId="0" applyAlignment="1" applyBorder="1" applyFill="1" applyFont="1">
      <alignment horizontal="center" readingOrder="0" vertical="center"/>
    </xf>
    <xf borderId="4" fillId="2" fontId="6" numFmtId="0" xfId="0" applyAlignment="1" applyBorder="1" applyFill="1" applyFont="1">
      <alignment horizontal="center" readingOrder="0" vertical="center"/>
    </xf>
    <xf borderId="5" fillId="4" fontId="7" numFmtId="0" xfId="0" applyAlignment="1" applyBorder="1" applyFill="1" applyFont="1">
      <alignment horizontal="center" readingOrder="0" vertical="center"/>
    </xf>
    <xf borderId="6" fillId="4" fontId="7" numFmtId="0" xfId="0" applyAlignment="1" applyBorder="1" applyFill="1" applyFont="1">
      <alignment horizontal="center" readingOrder="0" vertical="center"/>
    </xf>
    <xf borderId="6" fillId="4" fontId="7" numFmtId="3" xfId="0" applyAlignment="1" applyBorder="1" applyFill="1" applyFont="1" applyNumberFormat="1">
      <alignment horizontal="center" vertical="center"/>
    </xf>
    <xf borderId="7" fillId="0" fontId="5" numFmtId="0" xfId="0" applyBorder="1" applyFont="1"/>
    <xf borderId="0" fillId="0" fontId="7" numFmtId="3" xfId="0" applyAlignment="1" applyFont="1" applyNumberFormat="1">
      <alignment horizontal="center" vertical="center"/>
    </xf>
    <xf borderId="8" fillId="0" fontId="5" numFmtId="0" xfId="0" applyBorder="1" applyFont="1"/>
    <xf borderId="9" fillId="2" fontId="4" numFmtId="0" xfId="0" applyAlignment="1" applyBorder="1" applyFill="1" applyFont="1">
      <alignment horizontal="center" readingOrder="0" vertical="center"/>
    </xf>
    <xf borderId="9" fillId="2" fontId="6" numFmtId="0" xfId="0" applyAlignment="1" applyBorder="1" applyFill="1" applyFont="1">
      <alignment horizontal="center" readingOrder="0" vertical="center"/>
    </xf>
    <xf borderId="10" fillId="0" fontId="5" numFmtId="0" xfId="0" applyBorder="1" applyFont="1"/>
    <xf borderId="0" fillId="4" fontId="7" numFmtId="3" xfId="0" applyAlignment="1" applyFill="1" applyFont="1" applyNumberFormat="1">
      <alignment horizontal="center" vertical="center"/>
    </xf>
    <xf borderId="11" fillId="4" fontId="7" numFmtId="3" xfId="0" applyAlignment="1" applyBorder="1" applyFill="1" applyFont="1" applyNumberFormat="1">
      <alignment horizontal="center" vertical="center"/>
    </xf>
    <xf borderId="0" fillId="0" fontId="7" numFmtId="3" xfId="0" applyAlignment="1" applyFont="1" applyNumberFormat="1">
      <alignment horizontal="center" readingOrder="0" vertical="center"/>
    </xf>
    <xf borderId="12" fillId="5" fontId="8" numFmtId="0" xfId="0" applyAlignment="1" applyBorder="1" applyFill="1" applyFont="1">
      <alignment horizontal="center" readingOrder="0" vertical="center"/>
    </xf>
    <xf borderId="13" fillId="0" fontId="4" numFmtId="0" xfId="0" applyAlignment="1" applyBorder="1" applyFont="1">
      <alignment horizontal="center" readingOrder="0" vertical="center"/>
    </xf>
    <xf borderId="13" fillId="0" fontId="9" numFmtId="0" xfId="0" applyAlignment="1" applyBorder="1" applyFont="1">
      <alignment horizontal="center" readingOrder="0" vertical="center"/>
    </xf>
    <xf borderId="14" fillId="0" fontId="10" numFmtId="0" xfId="0" applyAlignment="1" applyBorder="1" applyFont="1">
      <alignment horizontal="center" readingOrder="0" vertical="center"/>
    </xf>
    <xf borderId="14" fillId="6" fontId="10" numFmtId="0" xfId="0" applyAlignment="1" applyBorder="1" applyFill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1" fillId="0" fontId="11" numFmtId="0" xfId="0" applyAlignment="1" applyBorder="1" applyFont="1">
      <alignment horizontal="center" readingOrder="0" vertical="center"/>
    </xf>
    <xf borderId="14" fillId="0" fontId="12" numFmtId="0" xfId="0" applyAlignment="1" applyBorder="1" applyFont="1">
      <alignment horizontal="center" readingOrder="0" vertical="center"/>
    </xf>
    <xf borderId="14" fillId="6" fontId="12" numFmtId="0" xfId="0" applyAlignment="1" applyBorder="1" applyFill="1" applyFont="1">
      <alignment horizontal="center" readingOrder="0" vertical="center"/>
    </xf>
    <xf borderId="11" fillId="0" fontId="10" numFmtId="0" xfId="0" applyAlignment="1" applyBorder="1" applyFont="1">
      <alignment horizontal="center" readingOrder="0" vertical="center"/>
    </xf>
    <xf borderId="14" fillId="0" fontId="13" numFmtId="0" xfId="0" applyAlignment="1" applyBorder="1" applyFont="1">
      <alignment horizontal="center" vertical="center"/>
    </xf>
    <xf borderId="10" fillId="0" fontId="14" numFmtId="0" xfId="0" applyAlignment="1" applyBorder="1" applyFont="1">
      <alignment horizontal="center" vertical="center"/>
    </xf>
    <xf borderId="0" fillId="0" fontId="14" numFmtId="0" xfId="0" applyAlignment="1" applyFont="1">
      <alignment horizontal="center" readingOrder="0" vertical="center"/>
    </xf>
    <xf borderId="0" fillId="0" fontId="14" numFmtId="3" xfId="0" applyAlignment="1" applyFont="1" applyNumberFormat="1">
      <alignment horizontal="center" vertical="center"/>
    </xf>
    <xf borderId="11" fillId="0" fontId="14" numFmtId="3" xfId="0" applyAlignment="1" applyBorder="1" applyFont="1" applyNumberFormat="1">
      <alignment horizontal="center" vertical="center"/>
    </xf>
    <xf borderId="0" fillId="0" fontId="2" numFmtId="0" xfId="0" applyAlignment="1" applyFont="1">
      <alignment readingOrder="0" vertical="center"/>
    </xf>
    <xf borderId="13" fillId="0" fontId="5" numFmtId="0" xfId="0" applyBorder="1" applyFont="1"/>
    <xf borderId="11" fillId="6" fontId="10" numFmtId="0" xfId="0" applyAlignment="1" applyBorder="1" applyFill="1" applyFont="1">
      <alignment horizontal="center" readingOrder="0" vertical="center"/>
    </xf>
    <xf borderId="13" fillId="0" fontId="11" numFmtId="0" xfId="0" applyAlignment="1" applyBorder="1" applyFont="1">
      <alignment horizontal="center" readingOrder="0" vertical="center"/>
    </xf>
    <xf borderId="11" fillId="6" fontId="12" numFmtId="0" xfId="0" applyAlignment="1" applyBorder="1" applyFill="1" applyFont="1">
      <alignment horizontal="center" readingOrder="0" vertical="center"/>
    </xf>
    <xf borderId="11" fillId="0" fontId="13" numFmtId="0" xfId="0" applyAlignment="1" applyBorder="1" applyFont="1">
      <alignment horizontal="center" vertical="center"/>
    </xf>
    <xf borderId="11" fillId="0" fontId="12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8" fillId="0" fontId="9" numFmtId="0" xfId="0" applyAlignment="1" applyBorder="1" applyFont="1">
      <alignment horizontal="center" readingOrder="0" vertical="center"/>
    </xf>
    <xf borderId="15" fillId="0" fontId="10" numFmtId="0" xfId="0" applyAlignment="1" applyBorder="1" applyFont="1">
      <alignment horizontal="center" readingOrder="0" vertical="center"/>
    </xf>
    <xf borderId="15" fillId="6" fontId="10" numFmtId="0" xfId="0" applyAlignment="1" applyBorder="1" applyFill="1" applyFont="1">
      <alignment horizontal="center" readingOrder="0" vertical="center"/>
    </xf>
    <xf borderId="16" fillId="0" fontId="11" numFmtId="0" xfId="0" applyAlignment="1" applyBorder="1" applyFont="1">
      <alignment horizontal="center" readingOrder="0" vertical="center"/>
    </xf>
    <xf borderId="8" fillId="0" fontId="11" numFmtId="0" xfId="0" applyAlignment="1" applyBorder="1" applyFont="1">
      <alignment horizontal="center" readingOrder="0" vertical="center"/>
    </xf>
    <xf borderId="15" fillId="0" fontId="12" numFmtId="0" xfId="0" applyAlignment="1" applyBorder="1" applyFont="1">
      <alignment horizontal="center" readingOrder="0" vertical="center"/>
    </xf>
    <xf borderId="15" fillId="6" fontId="12" numFmtId="0" xfId="0" applyAlignment="1" applyBorder="1" applyFill="1" applyFont="1">
      <alignment horizontal="center" readingOrder="0" vertical="center"/>
    </xf>
    <xf borderId="15" fillId="0" fontId="13" numFmtId="0" xfId="0" applyAlignment="1" applyBorder="1" applyFont="1">
      <alignment horizontal="center" vertical="center"/>
    </xf>
    <xf borderId="0" fillId="7" fontId="11" numFmtId="0" xfId="0" applyAlignment="1" applyFill="1" applyFont="1">
      <alignment horizontal="center" readingOrder="0" vertical="center"/>
    </xf>
    <xf borderId="13" fillId="7" fontId="11" numFmtId="0" xfId="0" applyAlignment="1" applyBorder="1" applyFill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13" fillId="0" fontId="12" numFmtId="0" xfId="0" applyAlignment="1" applyBorder="1" applyFont="1">
      <alignment horizontal="center" readingOrder="0" vertical="center"/>
    </xf>
    <xf borderId="10" fillId="0" fontId="7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center" readingOrder="0" vertical="center"/>
    </xf>
    <xf borderId="13" fillId="0" fontId="10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6" fontId="10" numFmtId="0" xfId="0" applyAlignment="1" applyFill="1" applyFont="1">
      <alignment horizontal="center" readingOrder="0" vertical="center"/>
    </xf>
    <xf borderId="8" fillId="0" fontId="10" numFmtId="0" xfId="0" applyAlignment="1" applyBorder="1" applyFont="1">
      <alignment horizontal="center" readingOrder="0" vertical="center"/>
    </xf>
    <xf borderId="13" fillId="6" fontId="10" numFmtId="0" xfId="0" applyAlignment="1" applyBorder="1" applyFill="1" applyFont="1">
      <alignment horizontal="center" readingOrder="0" vertical="center"/>
    </xf>
    <xf borderId="10" fillId="0" fontId="9" numFmtId="0" xfId="0" applyAlignment="1" applyBorder="1" applyFont="1">
      <alignment horizontal="center" readingOrder="0" vertical="center"/>
    </xf>
    <xf borderId="10" fillId="0" fontId="10" numFmtId="0" xfId="0" applyAlignment="1" applyBorder="1" applyFont="1">
      <alignment horizontal="center" readingOrder="0" vertical="center"/>
    </xf>
    <xf borderId="10" fillId="6" fontId="10" numFmtId="0" xfId="0" applyAlignment="1" applyBorder="1" applyFill="1" applyFont="1">
      <alignment horizontal="center" readingOrder="0" vertical="center"/>
    </xf>
    <xf borderId="17" fillId="0" fontId="5" numFmtId="0" xfId="0" applyBorder="1" applyFont="1"/>
    <xf borderId="18" fillId="6" fontId="10" numFmtId="0" xfId="0" applyAlignment="1" applyBorder="1" applyFill="1" applyFont="1">
      <alignment horizontal="center" readingOrder="0" vertical="center"/>
    </xf>
    <xf borderId="18" fillId="0" fontId="10" numFmtId="0" xfId="0" applyAlignment="1" applyBorder="1" applyFont="1">
      <alignment horizontal="center" readingOrder="0" vertical="center"/>
    </xf>
    <xf borderId="18" fillId="0" fontId="12" numFmtId="0" xfId="0" applyAlignment="1" applyBorder="1" applyFont="1">
      <alignment horizontal="center" readingOrder="0" vertical="center"/>
    </xf>
    <xf borderId="18" fillId="6" fontId="12" numFmtId="0" xfId="0" applyAlignment="1" applyBorder="1" applyFill="1" applyFont="1">
      <alignment horizontal="center" readingOrder="0" vertical="center"/>
    </xf>
    <xf borderId="18" fillId="0" fontId="13" numFmtId="0" xfId="0" applyAlignment="1" applyBorder="1" applyFont="1">
      <alignment horizontal="center" vertical="center"/>
    </xf>
    <xf borderId="13" fillId="5" fontId="8" numFmtId="0" xfId="0" applyAlignment="1" applyBorder="1" applyFill="1" applyFont="1">
      <alignment horizontal="center" readingOrder="0" vertical="center"/>
    </xf>
    <xf borderId="10" fillId="0" fontId="4" numFmtId="0" xfId="0" applyAlignment="1" applyBorder="1" applyFont="1">
      <alignment horizontal="center" readingOrder="0" vertical="center"/>
    </xf>
    <xf borderId="10" fillId="0" fontId="12" numFmtId="0" xfId="0" applyAlignment="1" applyBorder="1" applyFont="1">
      <alignment horizontal="center" readingOrder="0" vertical="center"/>
    </xf>
    <xf borderId="0" fillId="6" fontId="12" numFmtId="0" xfId="0" applyAlignment="1" applyFill="1" applyFont="1">
      <alignment horizontal="center" readingOrder="0" vertical="center"/>
    </xf>
    <xf borderId="13" fillId="0" fontId="13" numFmtId="0" xfId="0" applyAlignment="1" applyBorder="1" applyFont="1">
      <alignment horizontal="center" vertical="center"/>
    </xf>
    <xf borderId="0" fillId="0" fontId="10" numFmtId="0" xfId="0" applyAlignment="1" applyFont="1">
      <alignment horizontal="center" readingOrder="0" shrinkToFit="0" vertical="center" wrapText="0"/>
    </xf>
    <xf borderId="13" fillId="0" fontId="10" numFmtId="0" xfId="0" applyAlignment="1" applyBorder="1" applyFont="1">
      <alignment horizontal="center" readingOrder="0" shrinkToFit="0" vertical="center" wrapText="0"/>
    </xf>
    <xf borderId="0" fillId="0" fontId="12" numFmtId="0" xfId="0" applyAlignment="1" applyFont="1">
      <alignment horizontal="center" readingOrder="0" shrinkToFit="0" vertical="center" wrapText="0"/>
    </xf>
    <xf borderId="8" fillId="6" fontId="10" numFmtId="0" xfId="0" applyAlignment="1" applyBorder="1" applyFill="1" applyFont="1">
      <alignment horizontal="center" readingOrder="0" vertical="center"/>
    </xf>
    <xf borderId="8" fillId="0" fontId="12" numFmtId="0" xfId="0" applyAlignment="1" applyBorder="1" applyFont="1">
      <alignment horizontal="center" readingOrder="0" vertical="center"/>
    </xf>
    <xf borderId="8" fillId="0" fontId="13" numFmtId="0" xfId="0" applyAlignment="1" applyBorder="1" applyFont="1">
      <alignment horizontal="center" vertical="center"/>
    </xf>
    <xf borderId="13" fillId="6" fontId="12" numFmtId="0" xfId="0" applyAlignment="1" applyBorder="1" applyFill="1" applyFont="1">
      <alignment horizontal="center" readingOrder="0" vertical="center"/>
    </xf>
    <xf borderId="10" fillId="0" fontId="11" numFmtId="0" xfId="0" applyAlignment="1" applyBorder="1" applyFont="1">
      <alignment horizontal="center" readingOrder="0" vertical="center"/>
    </xf>
    <xf borderId="0" fillId="0" fontId="12" numFmtId="0" xfId="0" applyAlignment="1" applyFont="1">
      <alignment horizontal="center" readingOrder="0" vertical="center"/>
    </xf>
    <xf borderId="17" fillId="6" fontId="10" numFmtId="0" xfId="0" applyAlignment="1" applyBorder="1" applyFill="1" applyFont="1">
      <alignment horizontal="center" readingOrder="0" vertical="center"/>
    </xf>
    <xf borderId="0" fillId="0" fontId="15" numFmtId="0" xfId="0" applyAlignment="1" applyFont="1">
      <alignment horizontal="center" readingOrder="0" vertical="center"/>
    </xf>
    <xf borderId="19" fillId="0" fontId="12" numFmtId="0" xfId="0" applyAlignment="1" applyBorder="1" applyFont="1">
      <alignment horizontal="center" readingOrder="0" shrinkToFit="0" vertical="center" wrapText="0"/>
    </xf>
    <xf borderId="1" fillId="0" fontId="10" numFmtId="0" xfId="0" applyAlignment="1" applyBorder="1" applyFont="1">
      <alignment horizontal="center" readingOrder="0" shrinkToFit="0" vertical="center" wrapText="0"/>
    </xf>
    <xf borderId="7" fillId="0" fontId="10" numFmtId="0" xfId="0" applyAlignment="1" applyBorder="1" applyFont="1">
      <alignment horizontal="center" readingOrder="0" shrinkToFit="0" vertical="center" wrapText="0"/>
    </xf>
    <xf borderId="0" fillId="0" fontId="14" numFmtId="3" xfId="0" applyAlignment="1" applyFont="1" applyNumberFormat="1">
      <alignment horizontal="center" readingOrder="0" vertical="center"/>
    </xf>
    <xf borderId="13" fillId="0" fontId="12" numFmtId="0" xfId="0" applyAlignment="1" applyBorder="1" applyFont="1">
      <alignment horizontal="center" readingOrder="0" shrinkToFit="0" vertical="center" wrapText="0"/>
    </xf>
    <xf borderId="16" fillId="7" fontId="11" numFmtId="0" xfId="0" applyAlignment="1" applyBorder="1" applyFill="1" applyFont="1">
      <alignment horizontal="center" readingOrder="0" vertical="center"/>
    </xf>
    <xf borderId="8" fillId="0" fontId="12" numFmtId="0" xfId="0" applyAlignment="1" applyBorder="1" applyFont="1">
      <alignment horizontal="center" readingOrder="0" shrinkToFit="0" vertical="center" wrapText="0"/>
    </xf>
    <xf borderId="8" fillId="0" fontId="10" numFmtId="0" xfId="0" applyAlignment="1" applyBorder="1" applyFont="1">
      <alignment horizontal="center" readingOrder="0" shrinkToFit="0" vertical="center" wrapText="0"/>
    </xf>
    <xf borderId="15" fillId="0" fontId="10" numFmtId="0" xfId="0" applyAlignment="1" applyBorder="1" applyFont="1">
      <alignment horizontal="center" readingOrder="0" shrinkToFit="0" vertical="center" wrapText="0"/>
    </xf>
    <xf borderId="13" fillId="8" fontId="8" numFmtId="0" xfId="0" applyAlignment="1" applyBorder="1" applyFill="1" applyFont="1">
      <alignment horizontal="center" readingOrder="0" vertical="center"/>
    </xf>
    <xf borderId="10" fillId="0" fontId="14" numFmtId="0" xfId="0" applyAlignment="1" applyBorder="1" applyFont="1">
      <alignment horizontal="center" readingOrder="0" vertical="center"/>
    </xf>
    <xf borderId="13" fillId="9" fontId="8" numFmtId="0" xfId="0" applyAlignment="1" applyBorder="1" applyFill="1" applyFont="1">
      <alignment horizontal="center" readingOrder="0" vertical="center"/>
    </xf>
    <xf borderId="10" fillId="0" fontId="15" numFmtId="0" xfId="0" applyAlignment="1" applyBorder="1" applyFont="1">
      <alignment horizontal="center" readingOrder="0" vertical="center"/>
    </xf>
    <xf borderId="10" fillId="6" fontId="12" numFmtId="0" xfId="0" applyAlignment="1" applyBorder="1" applyFill="1" applyFont="1">
      <alignment horizontal="center" readingOrder="0" vertical="center"/>
    </xf>
    <xf borderId="10" fillId="0" fontId="13" numFmtId="0" xfId="0" applyAlignment="1" applyBorder="1" applyFont="1">
      <alignment horizontal="center" vertical="center"/>
    </xf>
    <xf borderId="20" fillId="7" fontId="11" numFmtId="0" xfId="0" applyAlignment="1" applyBorder="1" applyFill="1" applyFont="1">
      <alignment horizontal="center" readingOrder="0" vertical="center"/>
    </xf>
    <xf borderId="8" fillId="7" fontId="11" numFmtId="0" xfId="0" applyAlignment="1" applyBorder="1" applyFill="1" applyFont="1">
      <alignment horizontal="center" readingOrder="0" vertical="center"/>
    </xf>
    <xf borderId="8" fillId="6" fontId="12" numFmtId="0" xfId="0" applyAlignment="1" applyBorder="1" applyFill="1" applyFont="1">
      <alignment horizontal="center" readingOrder="0" vertical="center"/>
    </xf>
    <xf borderId="16" fillId="0" fontId="2" numFmtId="0" xfId="0" applyAlignment="1" applyBorder="1" applyFont="1">
      <alignment vertical="center"/>
    </xf>
    <xf borderId="13" fillId="10" fontId="8" numFmtId="0" xfId="0" applyAlignment="1" applyBorder="1" applyFill="1" applyFont="1">
      <alignment horizontal="center" readingOrder="0" vertical="center"/>
    </xf>
    <xf borderId="11" fillId="0" fontId="13" numFmtId="0" xfId="0" applyAlignment="1" applyBorder="1" applyFont="1">
      <alignment horizontal="center" readingOrder="0" vertical="center"/>
    </xf>
    <xf borderId="11" fillId="6" fontId="9" numFmtId="0" xfId="0" applyAlignment="1" applyBorder="1" applyFill="1" applyFont="1">
      <alignment horizontal="center" readingOrder="0" vertical="center"/>
    </xf>
    <xf borderId="12" fillId="10" fontId="8" numFmtId="0" xfId="0" applyAlignment="1" applyBorder="1" applyFill="1" applyFont="1">
      <alignment horizontal="center" readingOrder="0" vertical="center"/>
    </xf>
    <xf borderId="12" fillId="0" fontId="4" numFmtId="0" xfId="0" applyAlignment="1" applyBorder="1" applyFont="1">
      <alignment horizontal="center" readingOrder="0" vertical="center"/>
    </xf>
    <xf borderId="12" fillId="0" fontId="9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horizontal="center" readingOrder="0" vertical="center"/>
    </xf>
    <xf borderId="14" fillId="0" fontId="13" numFmtId="0" xfId="0" applyAlignment="1" applyBorder="1" applyFont="1">
      <alignment horizontal="center" readingOrder="0" vertical="center"/>
    </xf>
    <xf borderId="14" fillId="6" fontId="10" numFmtId="0" xfId="0" applyAlignment="1" applyBorder="1" applyFill="1" applyFont="1">
      <alignment horizontal="center" readingOrder="0" shrinkToFit="0" vertical="center" wrapText="0"/>
    </xf>
    <xf borderId="14" fillId="0" fontId="10" numFmtId="0" xfId="0" applyAlignment="1" applyBorder="1" applyFont="1">
      <alignment horizontal="center" readingOrder="0" shrinkToFit="0" vertical="center" wrapText="0"/>
    </xf>
    <xf borderId="1" fillId="6" fontId="12" numFmtId="0" xfId="0" applyAlignment="1" applyBorder="1" applyFill="1" applyFont="1">
      <alignment horizontal="center" readingOrder="0" vertical="center"/>
    </xf>
    <xf borderId="1" fillId="6" fontId="12" numFmtId="0" xfId="0" applyAlignment="1" applyBorder="1" applyFill="1" applyFont="1">
      <alignment horizontal="center" readingOrder="0" shrinkToFit="0" vertical="center" wrapText="0"/>
    </xf>
    <xf borderId="14" fillId="0" fontId="13" numFmtId="164" xfId="0" applyAlignment="1" applyBorder="1" applyFont="1" applyNumberFormat="1">
      <alignment horizontal="center" readingOrder="0" shrinkToFit="0" vertical="center" wrapText="0"/>
    </xf>
    <xf borderId="0" fillId="0" fontId="9" numFmtId="0" xfId="0" applyAlignment="1" applyFont="1">
      <alignment horizontal="center" readingOrder="0" vertical="center"/>
    </xf>
    <xf borderId="0" fillId="6" fontId="10" numFmtId="0" xfId="0" applyAlignment="1" applyFill="1" applyFont="1">
      <alignment horizontal="center" readingOrder="0" shrinkToFit="0" vertical="center" wrapText="0"/>
    </xf>
    <xf borderId="11" fillId="0" fontId="13" numFmtId="164" xfId="0" applyAlignment="1" applyBorder="1" applyFont="1" applyNumberFormat="1">
      <alignment horizontal="center" readingOrder="0" shrinkToFit="0" vertical="center" wrapText="0"/>
    </xf>
    <xf borderId="11" fillId="6" fontId="10" numFmtId="0" xfId="0" applyAlignment="1" applyBorder="1" applyFill="1" applyFont="1">
      <alignment horizontal="center" readingOrder="0" shrinkToFit="0" vertical="center" wrapText="0"/>
    </xf>
    <xf borderId="11" fillId="0" fontId="10" numFmtId="0" xfId="0" applyAlignment="1" applyBorder="1" applyFont="1">
      <alignment horizontal="center" readingOrder="0" shrinkToFit="0" vertical="center" wrapText="0"/>
    </xf>
    <xf borderId="13" fillId="6" fontId="12" numFmtId="0" xfId="0" applyAlignment="1" applyBorder="1" applyFill="1" applyFont="1">
      <alignment horizontal="center" readingOrder="0" shrinkToFit="0" vertical="center" wrapText="0"/>
    </xf>
    <xf borderId="18" fillId="6" fontId="10" numFmtId="0" xfId="0" applyAlignment="1" applyBorder="1" applyFill="1" applyFont="1">
      <alignment horizontal="center" readingOrder="0" shrinkToFit="0" vertical="center" wrapText="0"/>
    </xf>
    <xf borderId="18" fillId="0" fontId="10" numFmtId="0" xfId="0" applyAlignment="1" applyBorder="1" applyFont="1">
      <alignment horizontal="center" readingOrder="0" shrinkToFit="0" vertical="center" wrapText="0"/>
    </xf>
    <xf borderId="8" fillId="6" fontId="12" numFmtId="0" xfId="0" applyAlignment="1" applyBorder="1" applyFill="1" applyFont="1">
      <alignment horizontal="center" readingOrder="0" shrinkToFit="0" vertical="center" wrapText="0"/>
    </xf>
    <xf borderId="18" fillId="0" fontId="13" numFmtId="164" xfId="0" applyAlignment="1" applyBorder="1" applyFont="1" applyNumberFormat="1">
      <alignment horizontal="center" readingOrder="0" shrinkToFit="0" vertical="center" wrapText="0"/>
    </xf>
    <xf borderId="0" fillId="10" fontId="8" numFmtId="0" xfId="0" applyAlignment="1" applyFill="1" applyFont="1">
      <alignment horizontal="center" readingOrder="0" vertical="center"/>
    </xf>
    <xf borderId="1" fillId="6" fontId="10" numFmtId="0" xfId="0" applyAlignment="1" applyBorder="1" applyFill="1" applyFont="1">
      <alignment horizontal="center" readingOrder="0" vertical="center"/>
    </xf>
    <xf borderId="10" fillId="7" fontId="11" numFmtId="0" xfId="0" applyAlignment="1" applyBorder="1" applyFill="1" applyFont="1">
      <alignment horizontal="center" readingOrder="0" vertical="center"/>
    </xf>
    <xf borderId="11" fillId="0" fontId="16" numFmtId="0" xfId="0" applyAlignment="1" applyBorder="1" applyFont="1">
      <alignment horizontal="center" readingOrder="0" vertical="center"/>
    </xf>
    <xf borderId="11" fillId="6" fontId="16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vertical="center"/>
    </xf>
    <xf borderId="10" fillId="0" fontId="17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16" fillId="0" fontId="5" numFmtId="0" xfId="0" applyBorder="1" applyFont="1"/>
    <xf borderId="16" fillId="0" fontId="4" numFmtId="0" xfId="0" applyAlignment="1" applyBorder="1" applyFont="1">
      <alignment horizontal="center" readingOrder="0" vertical="center"/>
    </xf>
    <xf borderId="20" fillId="0" fontId="9" numFmtId="0" xfId="0" applyAlignment="1" applyBorder="1" applyFont="1">
      <alignment horizontal="center" readingOrder="0" vertical="center"/>
    </xf>
    <xf borderId="20" fillId="0" fontId="10" numFmtId="0" xfId="0" applyAlignment="1" applyBorder="1" applyFont="1">
      <alignment horizontal="center" readingOrder="0" vertical="center"/>
    </xf>
    <xf borderId="16" fillId="0" fontId="10" numFmtId="0" xfId="0" applyAlignment="1" applyBorder="1" applyFont="1">
      <alignment horizontal="center" readingOrder="0" vertical="center"/>
    </xf>
    <xf borderId="16" fillId="0" fontId="12" numFmtId="0" xfId="0" applyAlignment="1" applyBorder="1" applyFont="1">
      <alignment horizontal="center" readingOrder="0" vertical="center"/>
    </xf>
    <xf borderId="15" fillId="0" fontId="16" numFmtId="0" xfId="0" applyAlignment="1" applyBorder="1" applyFont="1">
      <alignment horizontal="center" readingOrder="0" vertical="center"/>
    </xf>
    <xf borderId="15" fillId="6" fontId="16" numFmtId="0" xfId="0" applyAlignment="1" applyBorder="1" applyFill="1" applyFont="1">
      <alignment horizontal="center" readingOrder="0" vertical="center"/>
    </xf>
    <xf borderId="8" fillId="0" fontId="2" numFmtId="0" xfId="0" applyAlignment="1" applyBorder="1" applyFont="1">
      <alignment vertical="center"/>
    </xf>
    <xf borderId="13" fillId="11" fontId="8" numFmtId="0" xfId="0" applyAlignment="1" applyBorder="1" applyFill="1" applyFont="1">
      <alignment horizontal="center" readingOrder="0" vertical="center"/>
    </xf>
    <xf borderId="12" fillId="11" fontId="8" numFmtId="0" xfId="0" applyAlignment="1" applyBorder="1" applyFill="1" applyFont="1">
      <alignment horizontal="center" readingOrder="0" vertical="center"/>
    </xf>
    <xf borderId="21" fillId="12" fontId="8" numFmtId="0" xfId="0" applyAlignment="1" applyBorder="1" applyFill="1" applyFont="1">
      <alignment horizontal="center" readingOrder="0" vertical="center"/>
    </xf>
    <xf borderId="5" fillId="0" fontId="10" numFmtId="0" xfId="0" applyAlignment="1" applyBorder="1" applyFont="1">
      <alignment horizontal="center" readingOrder="0" vertical="center"/>
    </xf>
    <xf borderId="6" fillId="0" fontId="10" numFmtId="0" xfId="0" applyAlignment="1" applyBorder="1" applyFont="1">
      <alignment horizontal="center" readingOrder="0" vertical="center"/>
    </xf>
    <xf borderId="0" fillId="0" fontId="16" numFmtId="0" xfId="0" applyAlignment="1" applyFont="1">
      <alignment horizontal="center" readingOrder="0" vertical="center"/>
    </xf>
    <xf borderId="11" fillId="0" fontId="14" numFmtId="0" xfId="0" applyAlignment="1" applyBorder="1" applyFont="1">
      <alignment vertical="center"/>
    </xf>
    <xf borderId="0" fillId="0" fontId="2" numFmtId="9" xfId="0" applyAlignment="1" applyFont="1" applyNumberFormat="1">
      <alignment readingOrder="0" vertical="center"/>
    </xf>
    <xf borderId="13" fillId="0" fontId="18" numFmtId="0" xfId="0" applyAlignment="1" applyBorder="1" applyFont="1">
      <alignment horizontal="center" readingOrder="0" vertical="center"/>
    </xf>
    <xf borderId="13" fillId="6" fontId="16" numFmtId="0" xfId="0" applyAlignment="1" applyBorder="1" applyFill="1" applyFont="1">
      <alignment horizontal="center" readingOrder="0" vertical="center"/>
    </xf>
    <xf borderId="13" fillId="0" fontId="16" numFmtId="0" xfId="0" applyAlignment="1" applyBorder="1" applyFont="1">
      <alignment horizontal="center" readingOrder="0" vertical="center"/>
    </xf>
    <xf borderId="13" fillId="0" fontId="16" numFmtId="0" xfId="0" applyAlignment="1" applyBorder="1" applyFont="1">
      <alignment horizontal="center" vertical="center"/>
    </xf>
    <xf borderId="11" fillId="0" fontId="16" numFmtId="0" xfId="0" applyAlignment="1" applyBorder="1" applyFont="1">
      <alignment horizontal="center" vertical="center"/>
    </xf>
    <xf borderId="11" fillId="0" fontId="2" numFmtId="0" xfId="0" applyAlignment="1" applyBorder="1" applyFont="1">
      <alignment vertical="center"/>
    </xf>
    <xf borderId="0" fillId="0" fontId="2" numFmtId="3" xfId="0" applyAlignment="1" applyFont="1" applyNumberFormat="1">
      <alignment horizontal="center" readingOrder="0" vertical="center"/>
    </xf>
    <xf borderId="20" fillId="0" fontId="5" numFmtId="0" xfId="0" applyBorder="1" applyFont="1"/>
    <xf borderId="20" fillId="0" fontId="4" numFmtId="0" xfId="0" applyAlignment="1" applyBorder="1" applyFont="1">
      <alignment horizontal="center" readingOrder="0" vertical="center"/>
    </xf>
    <xf borderId="8" fillId="0" fontId="16" numFmtId="0" xfId="0" applyAlignment="1" applyBorder="1" applyFont="1">
      <alignment horizontal="center" readingOrder="0" vertical="center"/>
    </xf>
    <xf borderId="15" fillId="0" fontId="2" numFmtId="0" xfId="0" applyAlignment="1" applyBorder="1" applyFont="1">
      <alignment vertical="center"/>
    </xf>
    <xf borderId="20" fillId="0" fontId="2" numFmtId="0" xfId="0" applyAlignment="1" applyBorder="1" applyFont="1">
      <alignment horizontal="center" readingOrder="0" vertical="center"/>
    </xf>
    <xf borderId="16" fillId="0" fontId="2" numFmtId="0" xfId="0" applyAlignment="1" applyBorder="1" applyFont="1">
      <alignment horizontal="center" readingOrder="0" vertical="center"/>
    </xf>
    <xf borderId="16" fillId="0" fontId="2" numFmtId="3" xfId="0" applyAlignment="1" applyBorder="1" applyFont="1" applyNumberFormat="1">
      <alignment horizontal="center" readingOrder="0" vertical="center"/>
    </xf>
    <xf borderId="15" fillId="0" fontId="14" numFmtId="3" xfId="0" applyAlignment="1" applyBorder="1" applyFont="1" applyNumberFormat="1">
      <alignment horizontal="center" vertical="center"/>
    </xf>
    <xf borderId="0" fillId="3" fontId="2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37.png"/><Relationship Id="rId42" Type="http://schemas.openxmlformats.org/officeDocument/2006/relationships/image" Target="../media/image39.png"/><Relationship Id="rId41" Type="http://schemas.openxmlformats.org/officeDocument/2006/relationships/image" Target="../media/image46.png"/><Relationship Id="rId44" Type="http://schemas.openxmlformats.org/officeDocument/2006/relationships/image" Target="../media/image47.png"/><Relationship Id="rId43" Type="http://schemas.openxmlformats.org/officeDocument/2006/relationships/image" Target="../media/image40.png"/><Relationship Id="rId46" Type="http://schemas.openxmlformats.org/officeDocument/2006/relationships/image" Target="../media/image41.png"/><Relationship Id="rId45" Type="http://schemas.openxmlformats.org/officeDocument/2006/relationships/image" Target="../media/image45.png"/><Relationship Id="rId1" Type="http://schemas.openxmlformats.org/officeDocument/2006/relationships/image" Target="../media/image11.png"/><Relationship Id="rId2" Type="http://schemas.openxmlformats.org/officeDocument/2006/relationships/image" Target="../media/image54.png"/><Relationship Id="rId3" Type="http://schemas.openxmlformats.org/officeDocument/2006/relationships/image" Target="../media/image2.png"/><Relationship Id="rId4" Type="http://schemas.openxmlformats.org/officeDocument/2006/relationships/image" Target="../media/image17.png"/><Relationship Id="rId9" Type="http://schemas.openxmlformats.org/officeDocument/2006/relationships/image" Target="../media/image21.png"/><Relationship Id="rId48" Type="http://schemas.openxmlformats.org/officeDocument/2006/relationships/image" Target="../media/image50.png"/><Relationship Id="rId47" Type="http://schemas.openxmlformats.org/officeDocument/2006/relationships/image" Target="../media/image51.png"/><Relationship Id="rId49" Type="http://schemas.openxmlformats.org/officeDocument/2006/relationships/image" Target="../media/image44.png"/><Relationship Id="rId5" Type="http://schemas.openxmlformats.org/officeDocument/2006/relationships/image" Target="../media/image15.png"/><Relationship Id="rId6" Type="http://schemas.openxmlformats.org/officeDocument/2006/relationships/image" Target="../media/image7.png"/><Relationship Id="rId7" Type="http://schemas.openxmlformats.org/officeDocument/2006/relationships/image" Target="../media/image1.png"/><Relationship Id="rId8" Type="http://schemas.openxmlformats.org/officeDocument/2006/relationships/image" Target="../media/image6.png"/><Relationship Id="rId31" Type="http://schemas.openxmlformats.org/officeDocument/2006/relationships/image" Target="../media/image19.png"/><Relationship Id="rId30" Type="http://schemas.openxmlformats.org/officeDocument/2006/relationships/image" Target="../media/image18.png"/><Relationship Id="rId33" Type="http://schemas.openxmlformats.org/officeDocument/2006/relationships/image" Target="../media/image32.png"/><Relationship Id="rId32" Type="http://schemas.openxmlformats.org/officeDocument/2006/relationships/image" Target="../media/image33.png"/><Relationship Id="rId35" Type="http://schemas.openxmlformats.org/officeDocument/2006/relationships/image" Target="../media/image35.png"/><Relationship Id="rId34" Type="http://schemas.openxmlformats.org/officeDocument/2006/relationships/image" Target="../media/image38.png"/><Relationship Id="rId37" Type="http://schemas.openxmlformats.org/officeDocument/2006/relationships/image" Target="../media/image31.png"/><Relationship Id="rId36" Type="http://schemas.openxmlformats.org/officeDocument/2006/relationships/image" Target="../media/image34.png"/><Relationship Id="rId39" Type="http://schemas.openxmlformats.org/officeDocument/2006/relationships/image" Target="../media/image36.png"/><Relationship Id="rId38" Type="http://schemas.openxmlformats.org/officeDocument/2006/relationships/image" Target="../media/image43.png"/><Relationship Id="rId20" Type="http://schemas.openxmlformats.org/officeDocument/2006/relationships/image" Target="../media/image13.png"/><Relationship Id="rId22" Type="http://schemas.openxmlformats.org/officeDocument/2006/relationships/image" Target="../media/image27.png"/><Relationship Id="rId21" Type="http://schemas.openxmlformats.org/officeDocument/2006/relationships/image" Target="../media/image22.png"/><Relationship Id="rId24" Type="http://schemas.openxmlformats.org/officeDocument/2006/relationships/image" Target="../media/image29.png"/><Relationship Id="rId23" Type="http://schemas.openxmlformats.org/officeDocument/2006/relationships/image" Target="../media/image28.png"/><Relationship Id="rId26" Type="http://schemas.openxmlformats.org/officeDocument/2006/relationships/image" Target="../media/image14.png"/><Relationship Id="rId25" Type="http://schemas.openxmlformats.org/officeDocument/2006/relationships/image" Target="../media/image10.png"/><Relationship Id="rId28" Type="http://schemas.openxmlformats.org/officeDocument/2006/relationships/image" Target="../media/image26.png"/><Relationship Id="rId27" Type="http://schemas.openxmlformats.org/officeDocument/2006/relationships/image" Target="../media/image24.png"/><Relationship Id="rId29" Type="http://schemas.openxmlformats.org/officeDocument/2006/relationships/image" Target="../media/image8.png"/><Relationship Id="rId51" Type="http://schemas.openxmlformats.org/officeDocument/2006/relationships/image" Target="../media/image53.png"/><Relationship Id="rId50" Type="http://schemas.openxmlformats.org/officeDocument/2006/relationships/image" Target="../media/image42.png"/><Relationship Id="rId53" Type="http://schemas.openxmlformats.org/officeDocument/2006/relationships/image" Target="../media/image52.png"/><Relationship Id="rId52" Type="http://schemas.openxmlformats.org/officeDocument/2006/relationships/image" Target="../media/image49.png"/><Relationship Id="rId11" Type="http://schemas.openxmlformats.org/officeDocument/2006/relationships/image" Target="../media/image20.png"/><Relationship Id="rId10" Type="http://schemas.openxmlformats.org/officeDocument/2006/relationships/image" Target="../media/image12.png"/><Relationship Id="rId54" Type="http://schemas.openxmlformats.org/officeDocument/2006/relationships/image" Target="../media/image48.png"/><Relationship Id="rId13" Type="http://schemas.openxmlformats.org/officeDocument/2006/relationships/image" Target="../media/image23.png"/><Relationship Id="rId12" Type="http://schemas.openxmlformats.org/officeDocument/2006/relationships/image" Target="../media/image16.png"/><Relationship Id="rId15" Type="http://schemas.openxmlformats.org/officeDocument/2006/relationships/image" Target="../media/image25.png"/><Relationship Id="rId14" Type="http://schemas.openxmlformats.org/officeDocument/2006/relationships/image" Target="../media/image4.png"/><Relationship Id="rId17" Type="http://schemas.openxmlformats.org/officeDocument/2006/relationships/image" Target="../media/image3.png"/><Relationship Id="rId16" Type="http://schemas.openxmlformats.org/officeDocument/2006/relationships/image" Target="../media/image9.png"/><Relationship Id="rId19" Type="http://schemas.openxmlformats.org/officeDocument/2006/relationships/image" Target="../media/image5.png"/><Relationship Id="rId18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24</xdr:row>
      <xdr:rowOff>28575</xdr:rowOff>
    </xdr:from>
    <xdr:ext cx="342900" cy="476250"/>
    <xdr:pic>
      <xdr:nvPicPr>
        <xdr:cNvPr id="0" name="image1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390525" cy="552450"/>
    <xdr:pic>
      <xdr:nvPicPr>
        <xdr:cNvPr id="0" name="image54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390525" cy="552450"/>
    <xdr:pic>
      <xdr:nvPicPr>
        <xdr:cNvPr id="0" name="image2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390525" cy="552450"/>
    <xdr:pic>
      <xdr:nvPicPr>
        <xdr:cNvPr id="0" name="image17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390525" cy="552450"/>
    <xdr:pic>
      <xdr:nvPicPr>
        <xdr:cNvPr id="0" name="image15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390525" cy="552450"/>
    <xdr:pic>
      <xdr:nvPicPr>
        <xdr:cNvPr id="0" name="image7.png" title="이미지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390525" cy="552450"/>
    <xdr:pic>
      <xdr:nvPicPr>
        <xdr:cNvPr id="0" name="image1.png" title="이미지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390525" cy="552450"/>
    <xdr:pic>
      <xdr:nvPicPr>
        <xdr:cNvPr id="0" name="image6.png" title="이미지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390525" cy="552450"/>
    <xdr:pic>
      <xdr:nvPicPr>
        <xdr:cNvPr id="0" name="image54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390525" cy="552450"/>
    <xdr:pic>
      <xdr:nvPicPr>
        <xdr:cNvPr id="0" name="image54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390525" cy="552450"/>
    <xdr:pic>
      <xdr:nvPicPr>
        <xdr:cNvPr id="0" name="image2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390525" cy="552450"/>
    <xdr:pic>
      <xdr:nvPicPr>
        <xdr:cNvPr id="0" name="image17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390525" cy="552450"/>
    <xdr:pic>
      <xdr:nvPicPr>
        <xdr:cNvPr id="0" name="image17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390525" cy="552450"/>
    <xdr:pic>
      <xdr:nvPicPr>
        <xdr:cNvPr id="0" name="image15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390525" cy="552450"/>
    <xdr:pic>
      <xdr:nvPicPr>
        <xdr:cNvPr id="0" name="image7.png" title="이미지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390525" cy="552450"/>
    <xdr:pic>
      <xdr:nvPicPr>
        <xdr:cNvPr id="0" name="image1.png" title="이미지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390525" cy="552450"/>
    <xdr:pic>
      <xdr:nvPicPr>
        <xdr:cNvPr id="0" name="image6.png" title="이미지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390525" cy="552450"/>
    <xdr:pic>
      <xdr:nvPicPr>
        <xdr:cNvPr id="0" name="image21.png" title="이미지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390525" cy="552450"/>
    <xdr:pic>
      <xdr:nvPicPr>
        <xdr:cNvPr id="0" name="image12.png" title="이미지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390525" cy="552450"/>
    <xdr:pic>
      <xdr:nvPicPr>
        <xdr:cNvPr id="0" name="image20.png" title="이미지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390525" cy="552450"/>
    <xdr:pic>
      <xdr:nvPicPr>
        <xdr:cNvPr id="0" name="image16.png" title="이미지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390525" cy="552450"/>
    <xdr:pic>
      <xdr:nvPicPr>
        <xdr:cNvPr id="0" name="image23.png" title="이미지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390525" cy="552450"/>
    <xdr:pic>
      <xdr:nvPicPr>
        <xdr:cNvPr id="0" name="image1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390525" cy="552450"/>
    <xdr:pic>
      <xdr:nvPicPr>
        <xdr:cNvPr id="0" name="image4.png" title="이미지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390525" cy="552450"/>
    <xdr:pic>
      <xdr:nvPicPr>
        <xdr:cNvPr id="0" name="image25.png" title="이미지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390525" cy="552450"/>
    <xdr:pic>
      <xdr:nvPicPr>
        <xdr:cNvPr id="0" name="image9.png" title="이미지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390525" cy="552450"/>
    <xdr:pic>
      <xdr:nvPicPr>
        <xdr:cNvPr id="0" name="image3.png" title="이미지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390525" cy="552450"/>
    <xdr:pic>
      <xdr:nvPicPr>
        <xdr:cNvPr id="0" name="image21.png" title="이미지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390525" cy="552450"/>
    <xdr:pic>
      <xdr:nvPicPr>
        <xdr:cNvPr id="0" name="image12.png" title="이미지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390525" cy="552450"/>
    <xdr:pic>
      <xdr:nvPicPr>
        <xdr:cNvPr id="0" name="image12.png" title="이미지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390525" cy="552450"/>
    <xdr:pic>
      <xdr:nvPicPr>
        <xdr:cNvPr id="0" name="image20.png" title="이미지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390525" cy="552450"/>
    <xdr:pic>
      <xdr:nvPicPr>
        <xdr:cNvPr id="0" name="image16.png" title="이미지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390525" cy="552450"/>
    <xdr:pic>
      <xdr:nvPicPr>
        <xdr:cNvPr id="0" name="image23.png" title="이미지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</xdr:row>
      <xdr:rowOff>0</xdr:rowOff>
    </xdr:from>
    <xdr:ext cx="390525" cy="552450"/>
    <xdr:pic>
      <xdr:nvPicPr>
        <xdr:cNvPr id="0" name="image1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</xdr:row>
      <xdr:rowOff>0</xdr:rowOff>
    </xdr:from>
    <xdr:ext cx="390525" cy="552450"/>
    <xdr:pic>
      <xdr:nvPicPr>
        <xdr:cNvPr id="0" name="image1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</xdr:row>
      <xdr:rowOff>0</xdr:rowOff>
    </xdr:from>
    <xdr:ext cx="390525" cy="552450"/>
    <xdr:pic>
      <xdr:nvPicPr>
        <xdr:cNvPr id="0" name="image4.png" title="이미지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390525" cy="552450"/>
    <xdr:pic>
      <xdr:nvPicPr>
        <xdr:cNvPr id="0" name="image25.png" title="이미지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</xdr:row>
      <xdr:rowOff>0</xdr:rowOff>
    </xdr:from>
    <xdr:ext cx="390525" cy="552450"/>
    <xdr:pic>
      <xdr:nvPicPr>
        <xdr:cNvPr id="0" name="image9.png" title="이미지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390525" cy="552450"/>
    <xdr:pic>
      <xdr:nvPicPr>
        <xdr:cNvPr id="0" name="image3.png" title="이미지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390525" cy="552450"/>
    <xdr:pic>
      <xdr:nvPicPr>
        <xdr:cNvPr id="0" name="image30.png" title="이미지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0</xdr:rowOff>
    </xdr:from>
    <xdr:ext cx="390525" cy="552450"/>
    <xdr:pic>
      <xdr:nvPicPr>
        <xdr:cNvPr id="0" name="image5.png" title="이미지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</xdr:row>
      <xdr:rowOff>0</xdr:rowOff>
    </xdr:from>
    <xdr:ext cx="390525" cy="552450"/>
    <xdr:pic>
      <xdr:nvPicPr>
        <xdr:cNvPr id="0" name="image13.png" title="이미지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390525" cy="552450"/>
    <xdr:pic>
      <xdr:nvPicPr>
        <xdr:cNvPr id="0" name="image22.png" title="이미지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</xdr:row>
      <xdr:rowOff>0</xdr:rowOff>
    </xdr:from>
    <xdr:ext cx="390525" cy="552450"/>
    <xdr:pic>
      <xdr:nvPicPr>
        <xdr:cNvPr id="0" name="image27.png" title="이미지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</xdr:row>
      <xdr:rowOff>0</xdr:rowOff>
    </xdr:from>
    <xdr:ext cx="390525" cy="552450"/>
    <xdr:pic>
      <xdr:nvPicPr>
        <xdr:cNvPr id="0" name="image28.png" title="이미지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</xdr:row>
      <xdr:rowOff>0</xdr:rowOff>
    </xdr:from>
    <xdr:ext cx="390525" cy="552450"/>
    <xdr:pic>
      <xdr:nvPicPr>
        <xdr:cNvPr id="0" name="image30.png" title="이미지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</xdr:row>
      <xdr:rowOff>0</xdr:rowOff>
    </xdr:from>
    <xdr:ext cx="390525" cy="552450"/>
    <xdr:pic>
      <xdr:nvPicPr>
        <xdr:cNvPr id="0" name="image5.png" title="이미지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390525" cy="552450"/>
    <xdr:pic>
      <xdr:nvPicPr>
        <xdr:cNvPr id="0" name="image13.png" title="이미지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</xdr:row>
      <xdr:rowOff>0</xdr:rowOff>
    </xdr:from>
    <xdr:ext cx="390525" cy="552450"/>
    <xdr:pic>
      <xdr:nvPicPr>
        <xdr:cNvPr id="0" name="image22.png" title="이미지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</xdr:row>
      <xdr:rowOff>0</xdr:rowOff>
    </xdr:from>
    <xdr:ext cx="390525" cy="552450"/>
    <xdr:pic>
      <xdr:nvPicPr>
        <xdr:cNvPr id="0" name="image27.png" title="이미지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52</xdr:row>
      <xdr:rowOff>0</xdr:rowOff>
    </xdr:from>
    <xdr:ext cx="390525" cy="552450"/>
    <xdr:pic>
      <xdr:nvPicPr>
        <xdr:cNvPr id="0" name="image28.png" title="이미지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53</xdr:row>
      <xdr:rowOff>0</xdr:rowOff>
    </xdr:from>
    <xdr:ext cx="390525" cy="552450"/>
    <xdr:pic>
      <xdr:nvPicPr>
        <xdr:cNvPr id="0" name="image29.png" title="이미지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</xdr:row>
      <xdr:rowOff>0</xdr:rowOff>
    </xdr:from>
    <xdr:ext cx="390525" cy="552450"/>
    <xdr:pic>
      <xdr:nvPicPr>
        <xdr:cNvPr id="0" name="image10.png" title="이미지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55</xdr:row>
      <xdr:rowOff>0</xdr:rowOff>
    </xdr:from>
    <xdr:ext cx="390525" cy="552450"/>
    <xdr:pic>
      <xdr:nvPicPr>
        <xdr:cNvPr id="0" name="image14.png" title="이미지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56</xdr:row>
      <xdr:rowOff>0</xdr:rowOff>
    </xdr:from>
    <xdr:ext cx="381000" cy="552450"/>
    <xdr:pic>
      <xdr:nvPicPr>
        <xdr:cNvPr id="0" name="image24.png" title="이미지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57</xdr:row>
      <xdr:rowOff>0</xdr:rowOff>
    </xdr:from>
    <xdr:ext cx="390525" cy="552450"/>
    <xdr:pic>
      <xdr:nvPicPr>
        <xdr:cNvPr id="0" name="image26.png" title="이미지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58</xdr:row>
      <xdr:rowOff>0</xdr:rowOff>
    </xdr:from>
    <xdr:ext cx="381000" cy="552450"/>
    <xdr:pic>
      <xdr:nvPicPr>
        <xdr:cNvPr id="0" name="image8.png" title="이미지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</xdr:row>
      <xdr:rowOff>0</xdr:rowOff>
    </xdr:from>
    <xdr:ext cx="381000" cy="552450"/>
    <xdr:pic>
      <xdr:nvPicPr>
        <xdr:cNvPr id="0" name="image18.png" title="이미지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60</xdr:row>
      <xdr:rowOff>0</xdr:rowOff>
    </xdr:from>
    <xdr:ext cx="390525" cy="552450"/>
    <xdr:pic>
      <xdr:nvPicPr>
        <xdr:cNvPr id="0" name="image19.png" title="이미지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381000" cy="552450"/>
    <xdr:pic>
      <xdr:nvPicPr>
        <xdr:cNvPr id="0" name="image33.png" title="이미지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62</xdr:row>
      <xdr:rowOff>0</xdr:rowOff>
    </xdr:from>
    <xdr:ext cx="381000" cy="552450"/>
    <xdr:pic>
      <xdr:nvPicPr>
        <xdr:cNvPr id="0" name="image32.png" title="이미지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63</xdr:row>
      <xdr:rowOff>0</xdr:rowOff>
    </xdr:from>
    <xdr:ext cx="381000" cy="552450"/>
    <xdr:pic>
      <xdr:nvPicPr>
        <xdr:cNvPr id="0" name="image38.png" title="이미지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64</xdr:row>
      <xdr:rowOff>0</xdr:rowOff>
    </xdr:from>
    <xdr:ext cx="381000" cy="552450"/>
    <xdr:pic>
      <xdr:nvPicPr>
        <xdr:cNvPr id="0" name="image35.png" title="이미지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65</xdr:row>
      <xdr:rowOff>0</xdr:rowOff>
    </xdr:from>
    <xdr:ext cx="381000" cy="552450"/>
    <xdr:pic>
      <xdr:nvPicPr>
        <xdr:cNvPr id="0" name="image34.png" title="이미지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381000" cy="552450"/>
    <xdr:pic>
      <xdr:nvPicPr>
        <xdr:cNvPr id="0" name="image31.png" title="이미지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67</xdr:row>
      <xdr:rowOff>0</xdr:rowOff>
    </xdr:from>
    <xdr:ext cx="390525" cy="552450"/>
    <xdr:pic>
      <xdr:nvPicPr>
        <xdr:cNvPr id="0" name="image29.png" title="이미지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68</xdr:row>
      <xdr:rowOff>0</xdr:rowOff>
    </xdr:from>
    <xdr:ext cx="390525" cy="552450"/>
    <xdr:pic>
      <xdr:nvPicPr>
        <xdr:cNvPr id="0" name="image10.png" title="이미지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69</xdr:row>
      <xdr:rowOff>0</xdr:rowOff>
    </xdr:from>
    <xdr:ext cx="390525" cy="552450"/>
    <xdr:pic>
      <xdr:nvPicPr>
        <xdr:cNvPr id="0" name="image14.png" title="이미지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70</xdr:row>
      <xdr:rowOff>0</xdr:rowOff>
    </xdr:from>
    <xdr:ext cx="381000" cy="552450"/>
    <xdr:pic>
      <xdr:nvPicPr>
        <xdr:cNvPr id="0" name="image24.png" title="이미지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71</xdr:row>
      <xdr:rowOff>0</xdr:rowOff>
    </xdr:from>
    <xdr:ext cx="390525" cy="552450"/>
    <xdr:pic>
      <xdr:nvPicPr>
        <xdr:cNvPr id="0" name="image26.png" title="이미지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72</xdr:row>
      <xdr:rowOff>0</xdr:rowOff>
    </xdr:from>
    <xdr:ext cx="381000" cy="552450"/>
    <xdr:pic>
      <xdr:nvPicPr>
        <xdr:cNvPr id="0" name="image8.png" title="이미지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73</xdr:row>
      <xdr:rowOff>0</xdr:rowOff>
    </xdr:from>
    <xdr:ext cx="381000" cy="552450"/>
    <xdr:pic>
      <xdr:nvPicPr>
        <xdr:cNvPr id="0" name="image18.png" title="이미지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74</xdr:row>
      <xdr:rowOff>0</xdr:rowOff>
    </xdr:from>
    <xdr:ext cx="390525" cy="552450"/>
    <xdr:pic>
      <xdr:nvPicPr>
        <xdr:cNvPr id="0" name="image19.png" title="이미지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75</xdr:row>
      <xdr:rowOff>0</xdr:rowOff>
    </xdr:from>
    <xdr:ext cx="381000" cy="552450"/>
    <xdr:pic>
      <xdr:nvPicPr>
        <xdr:cNvPr id="0" name="image33.png" title="이미지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76</xdr:row>
      <xdr:rowOff>0</xdr:rowOff>
    </xdr:from>
    <xdr:ext cx="381000" cy="552450"/>
    <xdr:pic>
      <xdr:nvPicPr>
        <xdr:cNvPr id="0" name="image32.png" title="이미지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77</xdr:row>
      <xdr:rowOff>0</xdr:rowOff>
    </xdr:from>
    <xdr:ext cx="381000" cy="552450"/>
    <xdr:pic>
      <xdr:nvPicPr>
        <xdr:cNvPr id="0" name="image38.png" title="이미지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381000" cy="552450"/>
    <xdr:pic>
      <xdr:nvPicPr>
        <xdr:cNvPr id="0" name="image35.png" title="이미지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79</xdr:row>
      <xdr:rowOff>0</xdr:rowOff>
    </xdr:from>
    <xdr:ext cx="381000" cy="552450"/>
    <xdr:pic>
      <xdr:nvPicPr>
        <xdr:cNvPr id="0" name="image34.png" title="이미지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80</xdr:row>
      <xdr:rowOff>0</xdr:rowOff>
    </xdr:from>
    <xdr:ext cx="381000" cy="552450"/>
    <xdr:pic>
      <xdr:nvPicPr>
        <xdr:cNvPr id="0" name="image31.png" title="이미지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81</xdr:row>
      <xdr:rowOff>0</xdr:rowOff>
    </xdr:from>
    <xdr:ext cx="390525" cy="542925"/>
    <xdr:pic>
      <xdr:nvPicPr>
        <xdr:cNvPr id="0" name="image43.png" title="이미지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82</xdr:row>
      <xdr:rowOff>0</xdr:rowOff>
    </xdr:from>
    <xdr:ext cx="390525" cy="542925"/>
    <xdr:pic>
      <xdr:nvPicPr>
        <xdr:cNvPr id="0" name="image43.png" title="이미지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83</xdr:row>
      <xdr:rowOff>0</xdr:rowOff>
    </xdr:from>
    <xdr:ext cx="390525" cy="542925"/>
    <xdr:pic>
      <xdr:nvPicPr>
        <xdr:cNvPr id="0" name="image36.png" title="이미지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84</xdr:row>
      <xdr:rowOff>0</xdr:rowOff>
    </xdr:from>
    <xdr:ext cx="390525" cy="542925"/>
    <xdr:pic>
      <xdr:nvPicPr>
        <xdr:cNvPr id="0" name="image36.png" title="이미지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85</xdr:row>
      <xdr:rowOff>0</xdr:rowOff>
    </xdr:from>
    <xdr:ext cx="390525" cy="552450"/>
    <xdr:pic>
      <xdr:nvPicPr>
        <xdr:cNvPr id="0" name="image54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86</xdr:row>
      <xdr:rowOff>0</xdr:rowOff>
    </xdr:from>
    <xdr:ext cx="390525" cy="552450"/>
    <xdr:pic>
      <xdr:nvPicPr>
        <xdr:cNvPr id="0" name="image17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87</xdr:row>
      <xdr:rowOff>0</xdr:rowOff>
    </xdr:from>
    <xdr:ext cx="390525" cy="552450"/>
    <xdr:pic>
      <xdr:nvPicPr>
        <xdr:cNvPr id="0" name="image12.png" title="이미지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88</xdr:row>
      <xdr:rowOff>0</xdr:rowOff>
    </xdr:from>
    <xdr:ext cx="390525" cy="552450"/>
    <xdr:pic>
      <xdr:nvPicPr>
        <xdr:cNvPr id="0" name="image20.png" title="이미지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89</xdr:row>
      <xdr:rowOff>0</xdr:rowOff>
    </xdr:from>
    <xdr:ext cx="390525" cy="552450"/>
    <xdr:pic>
      <xdr:nvPicPr>
        <xdr:cNvPr id="0" name="image1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90</xdr:row>
      <xdr:rowOff>0</xdr:rowOff>
    </xdr:from>
    <xdr:ext cx="390525" cy="552450"/>
    <xdr:pic>
      <xdr:nvPicPr>
        <xdr:cNvPr id="0" name="image9.png" title="이미지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91</xdr:row>
      <xdr:rowOff>0</xdr:rowOff>
    </xdr:from>
    <xdr:ext cx="390525" cy="552450"/>
    <xdr:pic>
      <xdr:nvPicPr>
        <xdr:cNvPr id="0" name="image54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92</xdr:row>
      <xdr:rowOff>0</xdr:rowOff>
    </xdr:from>
    <xdr:ext cx="390525" cy="552450"/>
    <xdr:pic>
      <xdr:nvPicPr>
        <xdr:cNvPr id="0" name="image54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93</xdr:row>
      <xdr:rowOff>0</xdr:rowOff>
    </xdr:from>
    <xdr:ext cx="390525" cy="552450"/>
    <xdr:pic>
      <xdr:nvPicPr>
        <xdr:cNvPr id="0" name="image17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94</xdr:row>
      <xdr:rowOff>0</xdr:rowOff>
    </xdr:from>
    <xdr:ext cx="390525" cy="552450"/>
    <xdr:pic>
      <xdr:nvPicPr>
        <xdr:cNvPr id="0" name="image7.png" title="이미지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95</xdr:row>
      <xdr:rowOff>0</xdr:rowOff>
    </xdr:from>
    <xdr:ext cx="390525" cy="552450"/>
    <xdr:pic>
      <xdr:nvPicPr>
        <xdr:cNvPr id="0" name="image12.png" title="이미지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96</xdr:row>
      <xdr:rowOff>0</xdr:rowOff>
    </xdr:from>
    <xdr:ext cx="390525" cy="552450"/>
    <xdr:pic>
      <xdr:nvPicPr>
        <xdr:cNvPr id="0" name="image1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</xdr:row>
      <xdr:rowOff>0</xdr:rowOff>
    </xdr:from>
    <xdr:ext cx="390525" cy="552450"/>
    <xdr:pic>
      <xdr:nvPicPr>
        <xdr:cNvPr id="0" name="image9.png" title="이미지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98</xdr:row>
      <xdr:rowOff>0</xdr:rowOff>
    </xdr:from>
    <xdr:ext cx="390525" cy="552450"/>
    <xdr:pic>
      <xdr:nvPicPr>
        <xdr:cNvPr id="0" name="image5.png" title="이미지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99</xdr:row>
      <xdr:rowOff>0</xdr:rowOff>
    </xdr:from>
    <xdr:ext cx="390525" cy="552450"/>
    <xdr:pic>
      <xdr:nvPicPr>
        <xdr:cNvPr id="0" name="image27.png" title="이미지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100</xdr:row>
      <xdr:rowOff>0</xdr:rowOff>
    </xdr:from>
    <xdr:ext cx="390525" cy="552450"/>
    <xdr:pic>
      <xdr:nvPicPr>
        <xdr:cNvPr id="0" name="image54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101</xdr:row>
      <xdr:rowOff>0</xdr:rowOff>
    </xdr:from>
    <xdr:ext cx="390525" cy="552450"/>
    <xdr:pic>
      <xdr:nvPicPr>
        <xdr:cNvPr id="0" name="image54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102</xdr:row>
      <xdr:rowOff>0</xdr:rowOff>
    </xdr:from>
    <xdr:ext cx="390525" cy="552450"/>
    <xdr:pic>
      <xdr:nvPicPr>
        <xdr:cNvPr id="0" name="image17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103</xdr:row>
      <xdr:rowOff>0</xdr:rowOff>
    </xdr:from>
    <xdr:ext cx="390525" cy="552450"/>
    <xdr:pic>
      <xdr:nvPicPr>
        <xdr:cNvPr id="0" name="image12.png" title="이미지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104</xdr:row>
      <xdr:rowOff>0</xdr:rowOff>
    </xdr:from>
    <xdr:ext cx="390525" cy="552450"/>
    <xdr:pic>
      <xdr:nvPicPr>
        <xdr:cNvPr id="0" name="image1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105</xdr:row>
      <xdr:rowOff>0</xdr:rowOff>
    </xdr:from>
    <xdr:ext cx="390525" cy="552450"/>
    <xdr:pic>
      <xdr:nvPicPr>
        <xdr:cNvPr id="0" name="image9.png" title="이미지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106</xdr:row>
      <xdr:rowOff>0</xdr:rowOff>
    </xdr:from>
    <xdr:ext cx="390525" cy="552450"/>
    <xdr:pic>
      <xdr:nvPicPr>
        <xdr:cNvPr id="0" name="image2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107</xdr:row>
      <xdr:rowOff>0</xdr:rowOff>
    </xdr:from>
    <xdr:ext cx="390525" cy="552450"/>
    <xdr:pic>
      <xdr:nvPicPr>
        <xdr:cNvPr id="0" name="image2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108</xdr:row>
      <xdr:rowOff>0</xdr:rowOff>
    </xdr:from>
    <xdr:ext cx="390525" cy="552450"/>
    <xdr:pic>
      <xdr:nvPicPr>
        <xdr:cNvPr id="0" name="image17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109</xdr:row>
      <xdr:rowOff>0</xdr:rowOff>
    </xdr:from>
    <xdr:ext cx="390525" cy="552450"/>
    <xdr:pic>
      <xdr:nvPicPr>
        <xdr:cNvPr id="0" name="image12.png" title="이미지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110</xdr:row>
      <xdr:rowOff>0</xdr:rowOff>
    </xdr:from>
    <xdr:ext cx="390525" cy="552450"/>
    <xdr:pic>
      <xdr:nvPicPr>
        <xdr:cNvPr id="0" name="image1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111</xdr:row>
      <xdr:rowOff>0</xdr:rowOff>
    </xdr:from>
    <xdr:ext cx="390525" cy="552450"/>
    <xdr:pic>
      <xdr:nvPicPr>
        <xdr:cNvPr id="0" name="image9.png" title="이미지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112</xdr:row>
      <xdr:rowOff>0</xdr:rowOff>
    </xdr:from>
    <xdr:ext cx="390525" cy="552450"/>
    <xdr:pic>
      <xdr:nvPicPr>
        <xdr:cNvPr id="0" name="image54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113</xdr:row>
      <xdr:rowOff>0</xdr:rowOff>
    </xdr:from>
    <xdr:ext cx="390525" cy="552450"/>
    <xdr:pic>
      <xdr:nvPicPr>
        <xdr:cNvPr id="0" name="image54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114</xdr:row>
      <xdr:rowOff>0</xdr:rowOff>
    </xdr:from>
    <xdr:ext cx="390525" cy="552450"/>
    <xdr:pic>
      <xdr:nvPicPr>
        <xdr:cNvPr id="0" name="image17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115</xdr:row>
      <xdr:rowOff>0</xdr:rowOff>
    </xdr:from>
    <xdr:ext cx="390525" cy="552450"/>
    <xdr:pic>
      <xdr:nvPicPr>
        <xdr:cNvPr id="0" name="image12.png" title="이미지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116</xdr:row>
      <xdr:rowOff>0</xdr:rowOff>
    </xdr:from>
    <xdr:ext cx="390525" cy="552450"/>
    <xdr:pic>
      <xdr:nvPicPr>
        <xdr:cNvPr id="0" name="image1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117</xdr:row>
      <xdr:rowOff>0</xdr:rowOff>
    </xdr:from>
    <xdr:ext cx="390525" cy="552450"/>
    <xdr:pic>
      <xdr:nvPicPr>
        <xdr:cNvPr id="0" name="image9.png" title="이미지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118</xdr:row>
      <xdr:rowOff>0</xdr:rowOff>
    </xdr:from>
    <xdr:ext cx="390525" cy="542925"/>
    <xdr:pic>
      <xdr:nvPicPr>
        <xdr:cNvPr id="0" name="image37.png" title="이미지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119</xdr:row>
      <xdr:rowOff>0</xdr:rowOff>
    </xdr:from>
    <xdr:ext cx="390525" cy="542925"/>
    <xdr:pic>
      <xdr:nvPicPr>
        <xdr:cNvPr id="0" name="image46.png" title="이미지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120</xdr:row>
      <xdr:rowOff>0</xdr:rowOff>
    </xdr:from>
    <xdr:ext cx="390525" cy="542925"/>
    <xdr:pic>
      <xdr:nvPicPr>
        <xdr:cNvPr id="0" name="image39.png" title="이미지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121</xdr:row>
      <xdr:rowOff>0</xdr:rowOff>
    </xdr:from>
    <xdr:ext cx="390525" cy="542925"/>
    <xdr:pic>
      <xdr:nvPicPr>
        <xdr:cNvPr id="0" name="image40.png" title="이미지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</xdr:row>
      <xdr:rowOff>0</xdr:rowOff>
    </xdr:from>
    <xdr:ext cx="390525" cy="552450"/>
    <xdr:pic>
      <xdr:nvPicPr>
        <xdr:cNvPr id="0" name="image47.png" title="이미지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123</xdr:row>
      <xdr:rowOff>0</xdr:rowOff>
    </xdr:from>
    <xdr:ext cx="390525" cy="552450"/>
    <xdr:pic>
      <xdr:nvPicPr>
        <xdr:cNvPr id="0" name="image45.png" title="이미지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124</xdr:row>
      <xdr:rowOff>0</xdr:rowOff>
    </xdr:from>
    <xdr:ext cx="390525" cy="552450"/>
    <xdr:pic>
      <xdr:nvPicPr>
        <xdr:cNvPr id="0" name="image41.png" title="이미지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125</xdr:row>
      <xdr:rowOff>0</xdr:rowOff>
    </xdr:from>
    <xdr:ext cx="390525" cy="552450"/>
    <xdr:pic>
      <xdr:nvPicPr>
        <xdr:cNvPr id="0" name="image51.png" title="이미지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126</xdr:row>
      <xdr:rowOff>0</xdr:rowOff>
    </xdr:from>
    <xdr:ext cx="390525" cy="552450"/>
    <xdr:pic>
      <xdr:nvPicPr>
        <xdr:cNvPr id="0" name="image50.png" title="이미지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127</xdr:row>
      <xdr:rowOff>0</xdr:rowOff>
    </xdr:from>
    <xdr:ext cx="390525" cy="552450"/>
    <xdr:pic>
      <xdr:nvPicPr>
        <xdr:cNvPr id="0" name="image44.png" title="이미지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128</xdr:row>
      <xdr:rowOff>0</xdr:rowOff>
    </xdr:from>
    <xdr:ext cx="390525" cy="552450"/>
    <xdr:pic>
      <xdr:nvPicPr>
        <xdr:cNvPr id="0" name="image42.png" title="이미지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129</xdr:row>
      <xdr:rowOff>0</xdr:rowOff>
    </xdr:from>
    <xdr:ext cx="390525" cy="552450"/>
    <xdr:pic>
      <xdr:nvPicPr>
        <xdr:cNvPr id="0" name="image53.png" title="이미지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130</xdr:row>
      <xdr:rowOff>0</xdr:rowOff>
    </xdr:from>
    <xdr:ext cx="390525" cy="552450"/>
    <xdr:pic>
      <xdr:nvPicPr>
        <xdr:cNvPr id="0" name="image53.png" title="이미지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131</xdr:row>
      <xdr:rowOff>0</xdr:rowOff>
    </xdr:from>
    <xdr:ext cx="390525" cy="552450"/>
    <xdr:pic>
      <xdr:nvPicPr>
        <xdr:cNvPr id="0" name="image49.png" title="이미지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132</xdr:row>
      <xdr:rowOff>0</xdr:rowOff>
    </xdr:from>
    <xdr:ext cx="390525" cy="552450"/>
    <xdr:pic>
      <xdr:nvPicPr>
        <xdr:cNvPr id="0" name="image52.png" title="이미지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133</xdr:row>
      <xdr:rowOff>0</xdr:rowOff>
    </xdr:from>
    <xdr:ext cx="390525" cy="552450"/>
    <xdr:pic>
      <xdr:nvPicPr>
        <xdr:cNvPr id="0" name="image48.png" title="이미지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B8AF"/>
    <outlinePr summaryBelow="0" summaryRight="0"/>
    <pageSetUpPr fitToPage="1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 outlineLevelCol="1"/>
  <cols>
    <col customWidth="1" min="2" max="2" width="5.88"/>
    <col min="4" max="6" width="12.63" outlineLevel="1"/>
    <col customWidth="1" min="8" max="9" width="15.38"/>
    <col customWidth="1" min="11" max="11" width="10.5"/>
    <col customWidth="1" min="15" max="15" width="16.75"/>
    <col customWidth="1" min="18" max="18" width="9.0"/>
    <col collapsed="1" customWidth="1" min="23" max="23" width="2.38"/>
    <col customWidth="1" hidden="1" min="24" max="24" width="29.25" outlineLevel="1"/>
    <col customWidth="1" hidden="1" min="25" max="25" width="31.25" outlineLevel="1"/>
    <col hidden="1" min="26" max="27" width="12.63" outlineLevel="1"/>
    <col customWidth="1" min="28" max="28" width="12.63"/>
    <col customWidth="1" min="29" max="30" width="21.5"/>
  </cols>
  <sheetData>
    <row r="1" ht="24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 t="s">
        <v>1</v>
      </c>
      <c r="AB1" s="2"/>
      <c r="AC1" s="2"/>
      <c r="AD1" s="2"/>
    </row>
    <row r="2">
      <c r="A2" s="4" t="s">
        <v>2</v>
      </c>
      <c r="B2" s="4" t="s">
        <v>3</v>
      </c>
      <c r="C2" s="5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6" t="s">
        <v>9</v>
      </c>
      <c r="I2" s="7"/>
      <c r="J2" s="4" t="s">
        <v>10</v>
      </c>
      <c r="K2" s="4" t="s">
        <v>11</v>
      </c>
      <c r="L2" s="8" t="s">
        <v>12</v>
      </c>
      <c r="M2" s="8" t="s">
        <v>13</v>
      </c>
      <c r="N2" s="9" t="s">
        <v>14</v>
      </c>
      <c r="O2" s="9" t="s">
        <v>15</v>
      </c>
      <c r="P2" s="8" t="s">
        <v>16</v>
      </c>
      <c r="Q2" s="9" t="s">
        <v>17</v>
      </c>
      <c r="R2" s="4" t="s">
        <v>18</v>
      </c>
      <c r="S2" s="10" t="s">
        <v>19</v>
      </c>
      <c r="T2" s="7"/>
      <c r="U2" s="4" t="s">
        <v>20</v>
      </c>
      <c r="V2" s="8" t="s">
        <v>21</v>
      </c>
      <c r="W2" s="2"/>
      <c r="X2" s="11" t="s">
        <v>22</v>
      </c>
      <c r="Y2" s="12" t="s">
        <v>23</v>
      </c>
      <c r="Z2" s="13" t="s">
        <v>24</v>
      </c>
      <c r="AA2" s="14"/>
      <c r="AB2" s="15"/>
      <c r="AC2" s="15"/>
      <c r="AD2" s="15"/>
    </row>
    <row r="3">
      <c r="A3" s="16"/>
      <c r="B3" s="16"/>
      <c r="C3" s="16"/>
      <c r="D3" s="16"/>
      <c r="E3" s="16"/>
      <c r="F3" s="16"/>
      <c r="G3" s="16"/>
      <c r="H3" s="17" t="s">
        <v>25</v>
      </c>
      <c r="I3" s="17" t="s">
        <v>26</v>
      </c>
      <c r="J3" s="16"/>
      <c r="K3" s="16"/>
      <c r="L3" s="16"/>
      <c r="M3" s="16"/>
      <c r="N3" s="18" t="s">
        <v>27</v>
      </c>
      <c r="O3" s="18" t="s">
        <v>28</v>
      </c>
      <c r="P3" s="16"/>
      <c r="Q3" s="18" t="s">
        <v>29</v>
      </c>
      <c r="R3" s="16"/>
      <c r="S3" s="18" t="s">
        <v>30</v>
      </c>
      <c r="T3" s="18" t="s">
        <v>31</v>
      </c>
      <c r="U3" s="16"/>
      <c r="V3" s="16"/>
      <c r="W3" s="2"/>
      <c r="X3" s="19"/>
      <c r="Z3" s="20" t="s">
        <v>32</v>
      </c>
      <c r="AA3" s="21" t="s">
        <v>33</v>
      </c>
      <c r="AB3" s="15"/>
      <c r="AC3" s="22"/>
      <c r="AD3" s="15"/>
    </row>
    <row r="4" ht="43.5" customHeight="1">
      <c r="A4" s="23" t="s">
        <v>34</v>
      </c>
      <c r="B4" s="24"/>
      <c r="C4" s="25" t="s">
        <v>35</v>
      </c>
      <c r="D4" s="26"/>
      <c r="E4" s="27" t="s">
        <v>36</v>
      </c>
      <c r="F4" s="26">
        <v>211.0</v>
      </c>
      <c r="G4" s="26" t="s">
        <v>37</v>
      </c>
      <c r="H4" s="28">
        <v>8.809668465068E12</v>
      </c>
      <c r="I4" s="29">
        <v>1.8809668465065E13</v>
      </c>
      <c r="J4" s="26" t="s">
        <v>38</v>
      </c>
      <c r="K4" s="26">
        <v>1.0</v>
      </c>
      <c r="L4" s="30" t="s">
        <v>39</v>
      </c>
      <c r="M4" s="30" t="s">
        <v>40</v>
      </c>
      <c r="N4" s="30" t="s">
        <v>41</v>
      </c>
      <c r="O4" s="30" t="s">
        <v>42</v>
      </c>
      <c r="P4" s="26">
        <v>20.0</v>
      </c>
      <c r="Q4" s="31">
        <v>25.0</v>
      </c>
      <c r="R4" s="26" t="s">
        <v>43</v>
      </c>
      <c r="S4" s="32">
        <v>4.699</v>
      </c>
      <c r="T4" s="32">
        <v>5.4</v>
      </c>
      <c r="U4" s="32" t="s">
        <v>44</v>
      </c>
      <c r="V4" s="33"/>
      <c r="W4" s="2"/>
      <c r="X4" s="34" t="s">
        <v>45</v>
      </c>
      <c r="Y4" s="35" t="s">
        <v>46</v>
      </c>
      <c r="Z4" s="36">
        <v>8000.0</v>
      </c>
      <c r="AA4" s="37">
        <f t="shared" ref="AA4:AA134" si="1">Z4*80%</f>
        <v>6400</v>
      </c>
      <c r="AB4" s="2"/>
      <c r="AC4" s="38"/>
    </row>
    <row r="5" ht="43.5" customHeight="1">
      <c r="A5" s="39"/>
      <c r="B5" s="24"/>
      <c r="C5" s="25" t="s">
        <v>47</v>
      </c>
      <c r="D5" s="40">
        <v>3130.0</v>
      </c>
      <c r="E5" s="40" t="s">
        <v>48</v>
      </c>
      <c r="F5" s="40">
        <v>611.0</v>
      </c>
      <c r="G5" s="40" t="s">
        <v>37</v>
      </c>
      <c r="H5" s="28">
        <v>8.809668465075E12</v>
      </c>
      <c r="I5" s="41">
        <v>1.8809668465072E13</v>
      </c>
      <c r="J5" s="32" t="s">
        <v>38</v>
      </c>
      <c r="K5" s="40">
        <v>1.0</v>
      </c>
      <c r="L5" s="40" t="s">
        <v>49</v>
      </c>
      <c r="M5" s="40" t="s">
        <v>49</v>
      </c>
      <c r="N5" s="40" t="s">
        <v>41</v>
      </c>
      <c r="O5" s="32" t="s">
        <v>42</v>
      </c>
      <c r="P5" s="40">
        <v>20.0</v>
      </c>
      <c r="Q5" s="42">
        <v>25.0</v>
      </c>
      <c r="R5" s="32" t="s">
        <v>43</v>
      </c>
      <c r="S5" s="32" t="s">
        <v>50</v>
      </c>
      <c r="T5" s="32" t="s">
        <v>50</v>
      </c>
      <c r="U5" s="32" t="s">
        <v>44</v>
      </c>
      <c r="V5" s="43"/>
      <c r="W5" s="2"/>
      <c r="X5" s="34" t="s">
        <v>51</v>
      </c>
      <c r="Y5" s="35" t="s">
        <v>52</v>
      </c>
      <c r="Z5" s="36">
        <v>8000.0</v>
      </c>
      <c r="AA5" s="37">
        <f t="shared" si="1"/>
        <v>6400</v>
      </c>
      <c r="AB5" s="2"/>
      <c r="AC5" s="38"/>
    </row>
    <row r="6" ht="43.5" customHeight="1">
      <c r="A6" s="39"/>
      <c r="B6" s="24"/>
      <c r="C6" s="25" t="s">
        <v>53</v>
      </c>
      <c r="D6" s="40">
        <v>3120.0</v>
      </c>
      <c r="E6" s="40" t="s">
        <v>54</v>
      </c>
      <c r="F6" s="40">
        <v>212.0</v>
      </c>
      <c r="G6" s="40" t="s">
        <v>37</v>
      </c>
      <c r="H6" s="28">
        <v>8.809668465082E12</v>
      </c>
      <c r="I6" s="41">
        <v>1.8809668465089E13</v>
      </c>
      <c r="J6" s="32" t="s">
        <v>38</v>
      </c>
      <c r="K6" s="40">
        <v>2.0</v>
      </c>
      <c r="L6" s="42" t="s">
        <v>55</v>
      </c>
      <c r="M6" s="42" t="s">
        <v>56</v>
      </c>
      <c r="N6" s="40" t="s">
        <v>41</v>
      </c>
      <c r="O6" s="32" t="s">
        <v>42</v>
      </c>
      <c r="P6" s="40">
        <v>20.0</v>
      </c>
      <c r="Q6" s="42">
        <v>25.0</v>
      </c>
      <c r="R6" s="32" t="s">
        <v>43</v>
      </c>
      <c r="S6" s="32">
        <v>5.715</v>
      </c>
      <c r="T6" s="32">
        <v>5.41</v>
      </c>
      <c r="U6" s="32" t="s">
        <v>44</v>
      </c>
      <c r="V6" s="43"/>
      <c r="W6" s="2"/>
      <c r="X6" s="34" t="s">
        <v>57</v>
      </c>
      <c r="Y6" s="35" t="s">
        <v>58</v>
      </c>
      <c r="Z6" s="36">
        <v>8000.0</v>
      </c>
      <c r="AA6" s="37">
        <f t="shared" si="1"/>
        <v>6400</v>
      </c>
      <c r="AB6" s="2"/>
      <c r="AC6" s="38"/>
    </row>
    <row r="7" ht="43.5" customHeight="1">
      <c r="A7" s="39"/>
      <c r="B7" s="24"/>
      <c r="C7" s="25" t="s">
        <v>59</v>
      </c>
      <c r="D7" s="32">
        <v>3203.0</v>
      </c>
      <c r="E7" s="40" t="s">
        <v>60</v>
      </c>
      <c r="F7" s="32"/>
      <c r="G7" s="32" t="s">
        <v>37</v>
      </c>
      <c r="H7" s="28">
        <v>8.809668465099E12</v>
      </c>
      <c r="I7" s="41">
        <v>1.8809668465092E13</v>
      </c>
      <c r="J7" s="32" t="s">
        <v>38</v>
      </c>
      <c r="K7" s="32">
        <v>3.0</v>
      </c>
      <c r="L7" s="44" t="s">
        <v>61</v>
      </c>
      <c r="M7" s="44" t="s">
        <v>61</v>
      </c>
      <c r="N7" s="40" t="s">
        <v>41</v>
      </c>
      <c r="O7" s="32" t="s">
        <v>42</v>
      </c>
      <c r="P7" s="32">
        <v>20.0</v>
      </c>
      <c r="Q7" s="42">
        <v>25.0</v>
      </c>
      <c r="R7" s="32" t="s">
        <v>43</v>
      </c>
      <c r="S7" s="32">
        <v>14.0</v>
      </c>
      <c r="T7" s="32">
        <v>9.25</v>
      </c>
      <c r="U7" s="32" t="s">
        <v>44</v>
      </c>
      <c r="V7" s="43"/>
      <c r="W7" s="2"/>
      <c r="X7" s="34" t="s">
        <v>62</v>
      </c>
      <c r="Y7" s="35" t="s">
        <v>63</v>
      </c>
      <c r="Z7" s="36">
        <v>8000.0</v>
      </c>
      <c r="AA7" s="37">
        <f t="shared" si="1"/>
        <v>6400</v>
      </c>
      <c r="AB7" s="2"/>
      <c r="AC7" s="38"/>
    </row>
    <row r="8" ht="43.5" customHeight="1">
      <c r="A8" s="39"/>
      <c r="B8" s="24"/>
      <c r="C8" s="25" t="s">
        <v>64</v>
      </c>
      <c r="D8" s="32">
        <v>3118.0</v>
      </c>
      <c r="E8" s="40" t="s">
        <v>65</v>
      </c>
      <c r="F8" s="32">
        <v>614.0</v>
      </c>
      <c r="G8" s="32" t="s">
        <v>37</v>
      </c>
      <c r="H8" s="28">
        <v>8.809668465105E12</v>
      </c>
      <c r="I8" s="41">
        <v>1.8809668465102E13</v>
      </c>
      <c r="J8" s="32" t="s">
        <v>38</v>
      </c>
      <c r="K8" s="32">
        <v>4.0</v>
      </c>
      <c r="L8" s="44" t="s">
        <v>66</v>
      </c>
      <c r="M8" s="44" t="s">
        <v>67</v>
      </c>
      <c r="N8" s="40" t="s">
        <v>41</v>
      </c>
      <c r="O8" s="32" t="s">
        <v>42</v>
      </c>
      <c r="P8" s="32">
        <v>20.0</v>
      </c>
      <c r="Q8" s="42">
        <v>25.0</v>
      </c>
      <c r="R8" s="32" t="s">
        <v>43</v>
      </c>
      <c r="S8" s="32">
        <v>9.89</v>
      </c>
      <c r="T8" s="32">
        <v>4.99</v>
      </c>
      <c r="U8" s="32" t="s">
        <v>44</v>
      </c>
      <c r="V8" s="43"/>
      <c r="W8" s="2"/>
      <c r="X8" s="34" t="s">
        <v>68</v>
      </c>
      <c r="Y8" s="35" t="s">
        <v>69</v>
      </c>
      <c r="Z8" s="36">
        <v>8000.0</v>
      </c>
      <c r="AA8" s="37">
        <f t="shared" si="1"/>
        <v>6400</v>
      </c>
      <c r="AB8" s="2"/>
      <c r="AC8" s="38"/>
    </row>
    <row r="9" ht="43.5" customHeight="1">
      <c r="A9" s="39"/>
      <c r="B9" s="24"/>
      <c r="C9" s="25" t="s">
        <v>70</v>
      </c>
      <c r="D9" s="32">
        <v>3116.0</v>
      </c>
      <c r="E9" s="40" t="s">
        <v>71</v>
      </c>
      <c r="F9" s="32"/>
      <c r="G9" s="32" t="s">
        <v>37</v>
      </c>
      <c r="H9" s="28">
        <v>8.809668465112E12</v>
      </c>
      <c r="I9" s="41">
        <v>1.8809668465119E13</v>
      </c>
      <c r="J9" s="32" t="s">
        <v>38</v>
      </c>
      <c r="K9" s="32">
        <v>6.0</v>
      </c>
      <c r="L9" s="44" t="s">
        <v>72</v>
      </c>
      <c r="M9" s="44" t="s">
        <v>73</v>
      </c>
      <c r="N9" s="40" t="s">
        <v>41</v>
      </c>
      <c r="O9" s="32" t="s">
        <v>42</v>
      </c>
      <c r="P9" s="32">
        <v>20.0</v>
      </c>
      <c r="Q9" s="42">
        <v>25.0</v>
      </c>
      <c r="R9" s="32" t="s">
        <v>43</v>
      </c>
      <c r="S9" s="32">
        <v>9.55</v>
      </c>
      <c r="T9" s="32">
        <v>5.086</v>
      </c>
      <c r="U9" s="32" t="s">
        <v>44</v>
      </c>
      <c r="V9" s="43"/>
      <c r="W9" s="2"/>
      <c r="X9" s="34" t="s">
        <v>74</v>
      </c>
      <c r="Y9" s="35" t="s">
        <v>75</v>
      </c>
      <c r="Z9" s="36">
        <v>8000.0</v>
      </c>
      <c r="AA9" s="37">
        <f t="shared" si="1"/>
        <v>6400</v>
      </c>
      <c r="AB9" s="2"/>
      <c r="AC9" s="38"/>
    </row>
    <row r="10" ht="43.5" customHeight="1">
      <c r="A10" s="39"/>
      <c r="B10" s="45"/>
      <c r="C10" s="46" t="s">
        <v>76</v>
      </c>
      <c r="D10" s="47"/>
      <c r="E10" s="48" t="s">
        <v>77</v>
      </c>
      <c r="F10" s="47">
        <v>223.0</v>
      </c>
      <c r="G10" s="47" t="s">
        <v>37</v>
      </c>
      <c r="H10" s="49">
        <v>8.809668465129E12</v>
      </c>
      <c r="I10" s="50">
        <v>1.8809668465126E13</v>
      </c>
      <c r="J10" s="47" t="s">
        <v>38</v>
      </c>
      <c r="K10" s="47">
        <v>12.0</v>
      </c>
      <c r="L10" s="51" t="s">
        <v>78</v>
      </c>
      <c r="M10" s="51" t="s">
        <v>79</v>
      </c>
      <c r="N10" s="48" t="s">
        <v>41</v>
      </c>
      <c r="O10" s="47" t="s">
        <v>42</v>
      </c>
      <c r="P10" s="47">
        <v>20.0</v>
      </c>
      <c r="Q10" s="52">
        <v>25.0</v>
      </c>
      <c r="R10" s="47" t="s">
        <v>43</v>
      </c>
      <c r="S10" s="47">
        <v>5.257</v>
      </c>
      <c r="T10" s="47">
        <v>7.62</v>
      </c>
      <c r="U10" s="47" t="s">
        <v>44</v>
      </c>
      <c r="V10" s="53"/>
      <c r="W10" s="2"/>
      <c r="X10" s="34" t="s">
        <v>80</v>
      </c>
      <c r="Y10" s="35" t="s">
        <v>81</v>
      </c>
      <c r="Z10" s="36">
        <v>8000.0</v>
      </c>
      <c r="AA10" s="37">
        <f t="shared" si="1"/>
        <v>6400</v>
      </c>
      <c r="AB10" s="2"/>
      <c r="AC10" s="2"/>
      <c r="AD10" s="2"/>
    </row>
    <row r="11" ht="43.5" customHeight="1">
      <c r="A11" s="39"/>
      <c r="B11" s="24"/>
      <c r="C11" s="25" t="s">
        <v>82</v>
      </c>
      <c r="D11" s="26"/>
      <c r="E11" s="40" t="s">
        <v>36</v>
      </c>
      <c r="F11" s="26">
        <v>211.0</v>
      </c>
      <c r="G11" s="32" t="s">
        <v>37</v>
      </c>
      <c r="H11" s="28">
        <v>8.809668465136E12</v>
      </c>
      <c r="I11" s="29">
        <v>1.8809668465133E13</v>
      </c>
      <c r="J11" s="32" t="s">
        <v>38</v>
      </c>
      <c r="K11" s="32">
        <v>1.0</v>
      </c>
      <c r="L11" s="30" t="s">
        <v>39</v>
      </c>
      <c r="M11" s="44" t="s">
        <v>40</v>
      </c>
      <c r="N11" s="44" t="s">
        <v>83</v>
      </c>
      <c r="O11" s="44" t="s">
        <v>84</v>
      </c>
      <c r="P11" s="32">
        <v>100.0</v>
      </c>
      <c r="Q11" s="42">
        <v>10.0</v>
      </c>
      <c r="R11" s="32" t="s">
        <v>43</v>
      </c>
      <c r="S11" s="32">
        <v>4.699</v>
      </c>
      <c r="T11" s="32">
        <v>5.4</v>
      </c>
      <c r="U11" s="32" t="s">
        <v>44</v>
      </c>
      <c r="V11" s="43"/>
      <c r="W11" s="2"/>
      <c r="X11" s="34" t="s">
        <v>85</v>
      </c>
      <c r="Y11" s="35" t="s">
        <v>86</v>
      </c>
      <c r="Z11" s="36">
        <v>29000.0</v>
      </c>
      <c r="AA11" s="37">
        <f t="shared" si="1"/>
        <v>23200</v>
      </c>
      <c r="AB11" s="2"/>
      <c r="AC11" s="2"/>
      <c r="AD11" s="2"/>
    </row>
    <row r="12" ht="43.5" customHeight="1">
      <c r="A12" s="39"/>
      <c r="B12" s="24"/>
      <c r="C12" s="25" t="s">
        <v>87</v>
      </c>
      <c r="D12" s="32"/>
      <c r="E12" s="40" t="s">
        <v>36</v>
      </c>
      <c r="F12" s="32">
        <v>211.0</v>
      </c>
      <c r="G12" s="40" t="s">
        <v>37</v>
      </c>
      <c r="H12" s="54">
        <v>8.809668466164E12</v>
      </c>
      <c r="I12" s="55">
        <v>1.8809668466161E13</v>
      </c>
      <c r="J12" s="32" t="s">
        <v>38</v>
      </c>
      <c r="K12" s="56">
        <v>1.0</v>
      </c>
      <c r="L12" s="57" t="s">
        <v>39</v>
      </c>
      <c r="M12" s="44" t="s">
        <v>40</v>
      </c>
      <c r="N12" s="44" t="s">
        <v>88</v>
      </c>
      <c r="O12" s="44" t="s">
        <v>89</v>
      </c>
      <c r="P12" s="32">
        <v>200.0</v>
      </c>
      <c r="Q12" s="42">
        <v>5.0</v>
      </c>
      <c r="R12" s="32" t="s">
        <v>43</v>
      </c>
      <c r="S12" s="32">
        <v>4.699</v>
      </c>
      <c r="T12" s="32">
        <v>5.4</v>
      </c>
      <c r="U12" s="32" t="s">
        <v>44</v>
      </c>
      <c r="V12" s="43"/>
      <c r="W12" s="2"/>
      <c r="X12" s="58" t="s">
        <v>90</v>
      </c>
      <c r="Y12" s="59" t="s">
        <v>91</v>
      </c>
      <c r="Z12" s="36">
        <v>50000.0</v>
      </c>
      <c r="AA12" s="37">
        <f t="shared" si="1"/>
        <v>40000</v>
      </c>
      <c r="AB12" s="2"/>
      <c r="AC12" s="2"/>
      <c r="AD12" s="2"/>
    </row>
    <row r="13" ht="43.5" customHeight="1">
      <c r="A13" s="39"/>
      <c r="B13" s="24"/>
      <c r="C13" s="25" t="s">
        <v>92</v>
      </c>
      <c r="D13" s="40">
        <v>3130.0</v>
      </c>
      <c r="E13" s="40" t="s">
        <v>48</v>
      </c>
      <c r="F13" s="40">
        <v>611.0</v>
      </c>
      <c r="G13" s="40" t="s">
        <v>37</v>
      </c>
      <c r="H13" s="28">
        <v>8.809668465143E12</v>
      </c>
      <c r="I13" s="41">
        <v>1.880966846514E13</v>
      </c>
      <c r="J13" s="32" t="s">
        <v>38</v>
      </c>
      <c r="K13" s="40">
        <v>1.0</v>
      </c>
      <c r="L13" s="40" t="s">
        <v>49</v>
      </c>
      <c r="M13" s="42" t="s">
        <v>49</v>
      </c>
      <c r="N13" s="44" t="s">
        <v>83</v>
      </c>
      <c r="O13" s="44" t="s">
        <v>84</v>
      </c>
      <c r="P13" s="40">
        <v>100.0</v>
      </c>
      <c r="Q13" s="42">
        <v>10.0</v>
      </c>
      <c r="R13" s="32" t="s">
        <v>43</v>
      </c>
      <c r="S13" s="32" t="s">
        <v>50</v>
      </c>
      <c r="T13" s="32" t="s">
        <v>50</v>
      </c>
      <c r="U13" s="32" t="s">
        <v>44</v>
      </c>
      <c r="V13" s="43"/>
      <c r="W13" s="2"/>
      <c r="X13" s="34" t="s">
        <v>93</v>
      </c>
      <c r="Y13" s="35" t="s">
        <v>94</v>
      </c>
      <c r="Z13" s="36">
        <v>29000.0</v>
      </c>
      <c r="AA13" s="37">
        <f t="shared" si="1"/>
        <v>23200</v>
      </c>
      <c r="AB13" s="2"/>
      <c r="AC13" s="2"/>
      <c r="AD13" s="2"/>
    </row>
    <row r="14" ht="43.5" customHeight="1">
      <c r="A14" s="39"/>
      <c r="B14" s="24"/>
      <c r="C14" s="25" t="s">
        <v>95</v>
      </c>
      <c r="D14" s="40">
        <v>3120.0</v>
      </c>
      <c r="E14" s="40" t="s">
        <v>54</v>
      </c>
      <c r="F14" s="40">
        <v>212.0</v>
      </c>
      <c r="G14" s="32" t="s">
        <v>37</v>
      </c>
      <c r="H14" s="28">
        <v>8.80966846515E12</v>
      </c>
      <c r="I14" s="41">
        <v>1.8809668465157E13</v>
      </c>
      <c r="J14" s="32" t="s">
        <v>38</v>
      </c>
      <c r="K14" s="32">
        <v>2.0</v>
      </c>
      <c r="L14" s="42" t="s">
        <v>55</v>
      </c>
      <c r="M14" s="44" t="s">
        <v>56</v>
      </c>
      <c r="N14" s="44" t="s">
        <v>83</v>
      </c>
      <c r="O14" s="44" t="s">
        <v>84</v>
      </c>
      <c r="P14" s="32">
        <v>100.0</v>
      </c>
      <c r="Q14" s="42">
        <v>10.0</v>
      </c>
      <c r="R14" s="32" t="s">
        <v>43</v>
      </c>
      <c r="S14" s="32">
        <v>5.715</v>
      </c>
      <c r="T14" s="32">
        <v>5.41</v>
      </c>
      <c r="U14" s="32" t="s">
        <v>44</v>
      </c>
      <c r="V14" s="43"/>
      <c r="W14" s="2"/>
      <c r="X14" s="34" t="s">
        <v>96</v>
      </c>
      <c r="Y14" s="35" t="s">
        <v>97</v>
      </c>
      <c r="Z14" s="36">
        <v>29000.0</v>
      </c>
      <c r="AA14" s="37">
        <f t="shared" si="1"/>
        <v>23200</v>
      </c>
      <c r="AB14" s="2"/>
      <c r="AC14" s="2"/>
      <c r="AD14" s="2"/>
    </row>
    <row r="15" ht="43.5" customHeight="1">
      <c r="A15" s="39"/>
      <c r="B15" s="24"/>
      <c r="C15" s="25" t="s">
        <v>98</v>
      </c>
      <c r="D15" s="40">
        <v>3120.0</v>
      </c>
      <c r="E15" s="40" t="s">
        <v>54</v>
      </c>
      <c r="F15" s="40">
        <v>212.0</v>
      </c>
      <c r="G15" s="32" t="s">
        <v>37</v>
      </c>
      <c r="H15" s="54">
        <v>8.809668466171E12</v>
      </c>
      <c r="I15" s="55">
        <v>1.880966846617E12</v>
      </c>
      <c r="J15" s="32" t="s">
        <v>99</v>
      </c>
      <c r="K15" s="32">
        <v>2.0</v>
      </c>
      <c r="L15" s="42" t="s">
        <v>55</v>
      </c>
      <c r="M15" s="44" t="s">
        <v>56</v>
      </c>
      <c r="N15" s="44" t="s">
        <v>88</v>
      </c>
      <c r="O15" s="44" t="s">
        <v>89</v>
      </c>
      <c r="P15" s="32">
        <v>200.0</v>
      </c>
      <c r="Q15" s="42">
        <v>5.0</v>
      </c>
      <c r="R15" s="32" t="s">
        <v>43</v>
      </c>
      <c r="S15" s="32">
        <v>5.715</v>
      </c>
      <c r="T15" s="32">
        <v>5.41</v>
      </c>
      <c r="U15" s="32" t="s">
        <v>44</v>
      </c>
      <c r="V15" s="43"/>
      <c r="W15" s="2"/>
      <c r="X15" s="58" t="s">
        <v>100</v>
      </c>
      <c r="Y15" s="59" t="s">
        <v>101</v>
      </c>
      <c r="Z15" s="36">
        <v>50000.0</v>
      </c>
      <c r="AA15" s="37">
        <f t="shared" si="1"/>
        <v>40000</v>
      </c>
      <c r="AB15" s="2"/>
      <c r="AC15" s="2"/>
      <c r="AD15" s="2"/>
    </row>
    <row r="16" ht="43.5" customHeight="1">
      <c r="A16" s="39"/>
      <c r="B16" s="24"/>
      <c r="C16" s="25" t="s">
        <v>102</v>
      </c>
      <c r="D16" s="32">
        <v>3203.0</v>
      </c>
      <c r="E16" s="40" t="s">
        <v>60</v>
      </c>
      <c r="F16" s="32"/>
      <c r="G16" s="32" t="s">
        <v>37</v>
      </c>
      <c r="H16" s="28">
        <v>8.809668465167E12</v>
      </c>
      <c r="I16" s="41">
        <v>1.8809668465164E13</v>
      </c>
      <c r="J16" s="32" t="s">
        <v>38</v>
      </c>
      <c r="K16" s="32">
        <v>3.0</v>
      </c>
      <c r="L16" s="44" t="s">
        <v>61</v>
      </c>
      <c r="M16" s="44" t="s">
        <v>61</v>
      </c>
      <c r="N16" s="44" t="s">
        <v>83</v>
      </c>
      <c r="O16" s="44" t="s">
        <v>84</v>
      </c>
      <c r="P16" s="32">
        <v>100.0</v>
      </c>
      <c r="Q16" s="42">
        <v>10.0</v>
      </c>
      <c r="R16" s="32" t="s">
        <v>43</v>
      </c>
      <c r="S16" s="32">
        <v>14.0</v>
      </c>
      <c r="T16" s="32">
        <v>9.25</v>
      </c>
      <c r="U16" s="32" t="s">
        <v>44</v>
      </c>
      <c r="V16" s="43"/>
      <c r="W16" s="2"/>
      <c r="X16" s="34" t="s">
        <v>103</v>
      </c>
      <c r="Y16" s="35" t="s">
        <v>104</v>
      </c>
      <c r="Z16" s="36">
        <v>29000.0</v>
      </c>
      <c r="AA16" s="37">
        <f t="shared" si="1"/>
        <v>23200</v>
      </c>
      <c r="AB16" s="2"/>
      <c r="AC16" s="2"/>
      <c r="AD16" s="2"/>
    </row>
    <row r="17" ht="43.5" customHeight="1">
      <c r="A17" s="39"/>
      <c r="B17" s="24"/>
      <c r="C17" s="25" t="s">
        <v>105</v>
      </c>
      <c r="D17" s="32">
        <v>3118.0</v>
      </c>
      <c r="E17" s="40" t="s">
        <v>65</v>
      </c>
      <c r="F17" s="32">
        <v>614.0</v>
      </c>
      <c r="G17" s="32" t="s">
        <v>37</v>
      </c>
      <c r="H17" s="28">
        <v>8.809668465174E12</v>
      </c>
      <c r="I17" s="41">
        <v>1.8809668465171E13</v>
      </c>
      <c r="J17" s="32" t="s">
        <v>38</v>
      </c>
      <c r="K17" s="32">
        <v>4.0</v>
      </c>
      <c r="L17" s="44" t="s">
        <v>66</v>
      </c>
      <c r="M17" s="44" t="s">
        <v>67</v>
      </c>
      <c r="N17" s="44" t="s">
        <v>83</v>
      </c>
      <c r="O17" s="44" t="s">
        <v>84</v>
      </c>
      <c r="P17" s="32">
        <v>100.0</v>
      </c>
      <c r="Q17" s="42">
        <v>10.0</v>
      </c>
      <c r="R17" s="32" t="s">
        <v>43</v>
      </c>
      <c r="S17" s="32">
        <v>9.89</v>
      </c>
      <c r="T17" s="32">
        <v>4.99</v>
      </c>
      <c r="U17" s="32" t="s">
        <v>44</v>
      </c>
      <c r="V17" s="43"/>
      <c r="W17" s="2"/>
      <c r="X17" s="34" t="s">
        <v>106</v>
      </c>
      <c r="Y17" s="35" t="s">
        <v>107</v>
      </c>
      <c r="Z17" s="36">
        <v>29000.0</v>
      </c>
      <c r="AA17" s="37">
        <f t="shared" si="1"/>
        <v>23200</v>
      </c>
      <c r="AB17" s="2"/>
      <c r="AC17" s="2"/>
      <c r="AD17" s="2"/>
    </row>
    <row r="18" ht="43.5" customHeight="1">
      <c r="A18" s="39"/>
      <c r="B18" s="24"/>
      <c r="C18" s="25" t="s">
        <v>108</v>
      </c>
      <c r="D18" s="32">
        <v>3116.0</v>
      </c>
      <c r="E18" s="40" t="s">
        <v>71</v>
      </c>
      <c r="F18" s="32"/>
      <c r="G18" s="32" t="s">
        <v>37</v>
      </c>
      <c r="H18" s="28">
        <v>8.809668465181E12</v>
      </c>
      <c r="I18" s="41">
        <v>1.8809668465188E13</v>
      </c>
      <c r="J18" s="32" t="s">
        <v>38</v>
      </c>
      <c r="K18" s="32">
        <v>6.0</v>
      </c>
      <c r="L18" s="44" t="s">
        <v>72</v>
      </c>
      <c r="M18" s="44" t="s">
        <v>73</v>
      </c>
      <c r="N18" s="44" t="s">
        <v>83</v>
      </c>
      <c r="O18" s="44" t="s">
        <v>84</v>
      </c>
      <c r="P18" s="32">
        <v>100.0</v>
      </c>
      <c r="Q18" s="42">
        <v>10.0</v>
      </c>
      <c r="R18" s="32" t="s">
        <v>43</v>
      </c>
      <c r="S18" s="32">
        <v>9.55</v>
      </c>
      <c r="T18" s="32">
        <v>5.086</v>
      </c>
      <c r="U18" s="32" t="s">
        <v>44</v>
      </c>
      <c r="V18" s="43"/>
      <c r="W18" s="2"/>
      <c r="X18" s="34" t="s">
        <v>109</v>
      </c>
      <c r="Y18" s="35" t="s">
        <v>110</v>
      </c>
      <c r="Z18" s="36">
        <v>29000.0</v>
      </c>
      <c r="AA18" s="37">
        <f t="shared" si="1"/>
        <v>23200</v>
      </c>
      <c r="AB18" s="2"/>
      <c r="AC18" s="2"/>
      <c r="AD18" s="2"/>
    </row>
    <row r="19" ht="43.5" customHeight="1">
      <c r="A19" s="39"/>
      <c r="B19" s="45"/>
      <c r="C19" s="46" t="s">
        <v>111</v>
      </c>
      <c r="D19" s="47"/>
      <c r="E19" s="40" t="s">
        <v>77</v>
      </c>
      <c r="F19" s="47">
        <v>223.0</v>
      </c>
      <c r="G19" s="32" t="s">
        <v>37</v>
      </c>
      <c r="H19" s="28">
        <v>8.809668465198E12</v>
      </c>
      <c r="I19" s="50">
        <v>1.8809668465195E13</v>
      </c>
      <c r="J19" s="32" t="s">
        <v>38</v>
      </c>
      <c r="K19" s="32">
        <v>12.0</v>
      </c>
      <c r="L19" s="51" t="s">
        <v>78</v>
      </c>
      <c r="M19" s="44" t="s">
        <v>79</v>
      </c>
      <c r="N19" s="44" t="s">
        <v>83</v>
      </c>
      <c r="O19" s="44" t="s">
        <v>84</v>
      </c>
      <c r="P19" s="32">
        <v>100.0</v>
      </c>
      <c r="Q19" s="42">
        <v>10.0</v>
      </c>
      <c r="R19" s="32" t="s">
        <v>43</v>
      </c>
      <c r="S19" s="32">
        <v>5.257</v>
      </c>
      <c r="T19" s="32">
        <v>7.62</v>
      </c>
      <c r="U19" s="32" t="s">
        <v>44</v>
      </c>
      <c r="V19" s="43"/>
      <c r="W19" s="2"/>
      <c r="X19" s="34" t="s">
        <v>112</v>
      </c>
      <c r="Y19" s="35" t="s">
        <v>113</v>
      </c>
      <c r="Z19" s="36">
        <v>29000.0</v>
      </c>
      <c r="AA19" s="37">
        <f t="shared" si="1"/>
        <v>23200</v>
      </c>
      <c r="AB19" s="2"/>
      <c r="AC19" s="2"/>
      <c r="AD19" s="2"/>
    </row>
    <row r="20" ht="43.5" customHeight="1">
      <c r="A20" s="23" t="s">
        <v>114</v>
      </c>
      <c r="B20" s="24"/>
      <c r="C20" s="60" t="s">
        <v>115</v>
      </c>
      <c r="D20" s="61">
        <v>3620.0</v>
      </c>
      <c r="E20" s="27" t="s">
        <v>116</v>
      </c>
      <c r="F20" s="61">
        <v>616.0</v>
      </c>
      <c r="G20" s="26" t="s">
        <v>114</v>
      </c>
      <c r="H20" s="29">
        <v>8.809668465204E12</v>
      </c>
      <c r="I20" s="29">
        <v>1.8809668465201E13</v>
      </c>
      <c r="J20" s="26" t="s">
        <v>38</v>
      </c>
      <c r="K20" s="26">
        <v>6.0</v>
      </c>
      <c r="L20" s="30" t="s">
        <v>117</v>
      </c>
      <c r="M20" s="30" t="s">
        <v>117</v>
      </c>
      <c r="N20" s="30" t="s">
        <v>41</v>
      </c>
      <c r="O20" s="30" t="s">
        <v>42</v>
      </c>
      <c r="P20" s="26">
        <v>20.0</v>
      </c>
      <c r="Q20" s="31">
        <v>25.0</v>
      </c>
      <c r="R20" s="26" t="s">
        <v>43</v>
      </c>
      <c r="S20" s="26">
        <v>19.0</v>
      </c>
      <c r="T20" s="26">
        <v>45.0</v>
      </c>
      <c r="U20" s="26" t="s">
        <v>44</v>
      </c>
      <c r="V20" s="33"/>
      <c r="W20" s="2"/>
      <c r="X20" s="34" t="s">
        <v>118</v>
      </c>
      <c r="Y20" s="35" t="s">
        <v>119</v>
      </c>
      <c r="Z20" s="36">
        <v>8000.0</v>
      </c>
      <c r="AA20" s="37">
        <f t="shared" si="1"/>
        <v>6400</v>
      </c>
      <c r="AB20" s="2"/>
      <c r="AC20" s="2"/>
      <c r="AD20" s="2"/>
    </row>
    <row r="21" ht="43.5" customHeight="1">
      <c r="A21" s="39"/>
      <c r="B21" s="24"/>
      <c r="C21" s="25" t="s">
        <v>120</v>
      </c>
      <c r="D21" s="62">
        <v>3114.0</v>
      </c>
      <c r="E21" s="40" t="s">
        <v>121</v>
      </c>
      <c r="F21" s="62">
        <v>224.0</v>
      </c>
      <c r="G21" s="32" t="s">
        <v>114</v>
      </c>
      <c r="H21" s="41">
        <v>8.809668465211E12</v>
      </c>
      <c r="I21" s="41">
        <v>1.8809668465218E13</v>
      </c>
      <c r="J21" s="32" t="s">
        <v>38</v>
      </c>
      <c r="K21" s="32">
        <v>8.0</v>
      </c>
      <c r="L21" s="44" t="s">
        <v>122</v>
      </c>
      <c r="M21" s="44" t="s">
        <v>123</v>
      </c>
      <c r="N21" s="44" t="s">
        <v>41</v>
      </c>
      <c r="O21" s="44" t="s">
        <v>42</v>
      </c>
      <c r="P21" s="32">
        <v>20.0</v>
      </c>
      <c r="Q21" s="42">
        <v>25.0</v>
      </c>
      <c r="R21" s="32" t="s">
        <v>43</v>
      </c>
      <c r="S21" s="32">
        <v>13.792</v>
      </c>
      <c r="T21" s="32">
        <v>5.086</v>
      </c>
      <c r="U21" s="32" t="s">
        <v>44</v>
      </c>
      <c r="V21" s="43"/>
      <c r="W21" s="2"/>
      <c r="X21" s="34" t="s">
        <v>124</v>
      </c>
      <c r="Y21" s="35" t="s">
        <v>125</v>
      </c>
      <c r="Z21" s="36">
        <v>8000.0</v>
      </c>
      <c r="AA21" s="37">
        <f t="shared" si="1"/>
        <v>6400</v>
      </c>
      <c r="AB21" s="2"/>
      <c r="AC21" s="2"/>
      <c r="AD21" s="2"/>
    </row>
    <row r="22" ht="43.5" customHeight="1">
      <c r="A22" s="39"/>
      <c r="B22" s="24"/>
      <c r="C22" s="25" t="s">
        <v>126</v>
      </c>
      <c r="D22" s="62">
        <v>3510.0</v>
      </c>
      <c r="E22" s="40" t="s">
        <v>127</v>
      </c>
      <c r="F22" s="62"/>
      <c r="G22" s="32" t="s">
        <v>114</v>
      </c>
      <c r="H22" s="41">
        <v>8.809668465228E12</v>
      </c>
      <c r="I22" s="41">
        <v>1.8809668465225E13</v>
      </c>
      <c r="J22" s="32" t="s">
        <v>38</v>
      </c>
      <c r="K22" s="32">
        <v>10.0</v>
      </c>
      <c r="L22" s="44" t="s">
        <v>128</v>
      </c>
      <c r="M22" s="44" t="s">
        <v>129</v>
      </c>
      <c r="N22" s="44" t="s">
        <v>41</v>
      </c>
      <c r="O22" s="44" t="s">
        <v>42</v>
      </c>
      <c r="P22" s="32">
        <v>20.0</v>
      </c>
      <c r="Q22" s="42">
        <v>25.0</v>
      </c>
      <c r="R22" s="32" t="s">
        <v>43</v>
      </c>
      <c r="S22" s="32">
        <v>20.5</v>
      </c>
      <c r="T22" s="32">
        <v>11.5</v>
      </c>
      <c r="U22" s="32" t="s">
        <v>44</v>
      </c>
      <c r="V22" s="43"/>
      <c r="W22" s="2"/>
      <c r="X22" s="34" t="s">
        <v>130</v>
      </c>
      <c r="Y22" s="35" t="s">
        <v>131</v>
      </c>
      <c r="Z22" s="36">
        <v>8000.0</v>
      </c>
      <c r="AA22" s="37">
        <f t="shared" si="1"/>
        <v>6400</v>
      </c>
      <c r="AB22" s="2"/>
      <c r="AC22" s="2"/>
      <c r="AD22" s="2"/>
    </row>
    <row r="23" ht="43.5" customHeight="1">
      <c r="A23" s="39"/>
      <c r="B23" s="24"/>
      <c r="C23" s="25" t="s">
        <v>132</v>
      </c>
      <c r="D23" s="62">
        <v>3212.0</v>
      </c>
      <c r="E23" s="40" t="s">
        <v>133</v>
      </c>
      <c r="F23" s="62"/>
      <c r="G23" s="32" t="s">
        <v>114</v>
      </c>
      <c r="H23" s="41">
        <v>8.809668465235E12</v>
      </c>
      <c r="I23" s="41">
        <v>1.8809668465232E13</v>
      </c>
      <c r="J23" s="32" t="s">
        <v>38</v>
      </c>
      <c r="K23" s="32">
        <v>12.0</v>
      </c>
      <c r="L23" s="44" t="s">
        <v>134</v>
      </c>
      <c r="M23" s="44" t="s">
        <v>135</v>
      </c>
      <c r="N23" s="44" t="s">
        <v>41</v>
      </c>
      <c r="O23" s="44" t="s">
        <v>42</v>
      </c>
      <c r="P23" s="32">
        <v>20.0</v>
      </c>
      <c r="Q23" s="42">
        <v>25.0</v>
      </c>
      <c r="R23" s="32" t="s">
        <v>43</v>
      </c>
      <c r="S23" s="32">
        <v>7.5</v>
      </c>
      <c r="T23" s="32">
        <v>4.0</v>
      </c>
      <c r="U23" s="32" t="s">
        <v>44</v>
      </c>
      <c r="V23" s="43"/>
      <c r="W23" s="2"/>
      <c r="X23" s="34" t="s">
        <v>136</v>
      </c>
      <c r="Y23" s="35" t="s">
        <v>137</v>
      </c>
      <c r="Z23" s="36">
        <v>8000.0</v>
      </c>
      <c r="AA23" s="37">
        <f t="shared" si="1"/>
        <v>6400</v>
      </c>
      <c r="AB23" s="2"/>
      <c r="AC23" s="2"/>
      <c r="AD23" s="2"/>
    </row>
    <row r="24" ht="43.5" customHeight="1">
      <c r="A24" s="39"/>
      <c r="B24" s="24"/>
      <c r="C24" s="25" t="s">
        <v>138</v>
      </c>
      <c r="D24" s="62">
        <v>3108.0</v>
      </c>
      <c r="E24" s="40" t="s">
        <v>139</v>
      </c>
      <c r="F24" s="62">
        <v>227.0</v>
      </c>
      <c r="G24" s="32" t="s">
        <v>114</v>
      </c>
      <c r="H24" s="41">
        <v>8.809668465242E12</v>
      </c>
      <c r="I24" s="41">
        <v>1.8809668465249E13</v>
      </c>
      <c r="J24" s="32" t="s">
        <v>38</v>
      </c>
      <c r="K24" s="32">
        <v>14.0</v>
      </c>
      <c r="L24" s="44" t="s">
        <v>140</v>
      </c>
      <c r="M24" s="44" t="s">
        <v>141</v>
      </c>
      <c r="N24" s="44" t="s">
        <v>41</v>
      </c>
      <c r="O24" s="44" t="s">
        <v>42</v>
      </c>
      <c r="P24" s="32">
        <v>20.0</v>
      </c>
      <c r="Q24" s="42">
        <v>25.0</v>
      </c>
      <c r="R24" s="32" t="s">
        <v>43</v>
      </c>
      <c r="S24" s="32">
        <v>15.875</v>
      </c>
      <c r="T24" s="32">
        <v>5.086</v>
      </c>
      <c r="U24" s="32" t="s">
        <v>44</v>
      </c>
      <c r="V24" s="43"/>
      <c r="W24" s="2"/>
      <c r="X24" s="34" t="s">
        <v>142</v>
      </c>
      <c r="Y24" s="35" t="s">
        <v>143</v>
      </c>
      <c r="Z24" s="36">
        <v>8000.0</v>
      </c>
      <c r="AA24" s="37">
        <f t="shared" si="1"/>
        <v>6400</v>
      </c>
      <c r="AB24" s="2"/>
      <c r="AC24" s="2"/>
      <c r="AD24" s="2"/>
    </row>
    <row r="25" ht="43.5" customHeight="1">
      <c r="A25" s="39"/>
      <c r="B25" s="63"/>
      <c r="C25" s="25" t="s">
        <v>144</v>
      </c>
      <c r="D25" s="62">
        <v>3107.0</v>
      </c>
      <c r="E25" s="64" t="s">
        <v>145</v>
      </c>
      <c r="F25" s="62">
        <v>228.0</v>
      </c>
      <c r="G25" s="56" t="s">
        <v>114</v>
      </c>
      <c r="H25" s="41">
        <v>8.809668465259E12</v>
      </c>
      <c r="I25" s="41">
        <v>1.8809668465256E13</v>
      </c>
      <c r="J25" s="32" t="s">
        <v>38</v>
      </c>
      <c r="K25" s="32">
        <v>16.0</v>
      </c>
      <c r="L25" s="44" t="s">
        <v>146</v>
      </c>
      <c r="M25" s="44" t="s">
        <v>147</v>
      </c>
      <c r="N25" s="44" t="s">
        <v>41</v>
      </c>
      <c r="O25" s="44" t="s">
        <v>42</v>
      </c>
      <c r="P25" s="32">
        <v>20.0</v>
      </c>
      <c r="Q25" s="42">
        <v>25.0</v>
      </c>
      <c r="R25" s="32" t="s">
        <v>43</v>
      </c>
      <c r="S25" s="32">
        <v>13.792</v>
      </c>
      <c r="T25" s="32">
        <v>5.086</v>
      </c>
      <c r="U25" s="32" t="s">
        <v>44</v>
      </c>
      <c r="V25" s="43"/>
      <c r="W25" s="2"/>
      <c r="X25" s="34" t="s">
        <v>148</v>
      </c>
      <c r="Y25" s="35" t="s">
        <v>149</v>
      </c>
      <c r="Z25" s="36">
        <v>8000.0</v>
      </c>
      <c r="AA25" s="37">
        <f t="shared" si="1"/>
        <v>6400</v>
      </c>
      <c r="AB25" s="2"/>
      <c r="AC25" s="2"/>
      <c r="AD25" s="2"/>
    </row>
    <row r="26" ht="43.5" customHeight="1">
      <c r="A26" s="39"/>
      <c r="B26" s="24"/>
      <c r="C26" s="25" t="s">
        <v>150</v>
      </c>
      <c r="D26" s="62">
        <v>3109.0</v>
      </c>
      <c r="E26" s="40" t="s">
        <v>151</v>
      </c>
      <c r="F26" s="62">
        <v>429.0</v>
      </c>
      <c r="G26" s="32" t="s">
        <v>114</v>
      </c>
      <c r="H26" s="41">
        <v>8.809668465266E12</v>
      </c>
      <c r="I26" s="41">
        <v>1.8809668465263E13</v>
      </c>
      <c r="J26" s="32" t="s">
        <v>38</v>
      </c>
      <c r="K26" s="32">
        <v>18.0</v>
      </c>
      <c r="L26" s="44" t="s">
        <v>152</v>
      </c>
      <c r="M26" s="44" t="s">
        <v>152</v>
      </c>
      <c r="N26" s="44" t="s">
        <v>41</v>
      </c>
      <c r="O26" s="44" t="s">
        <v>42</v>
      </c>
      <c r="P26" s="32">
        <v>20.0</v>
      </c>
      <c r="Q26" s="42">
        <v>25.0</v>
      </c>
      <c r="R26" s="32" t="s">
        <v>43</v>
      </c>
      <c r="S26" s="32">
        <v>13.0</v>
      </c>
      <c r="T26" s="32">
        <v>3.98</v>
      </c>
      <c r="U26" s="32" t="s">
        <v>44</v>
      </c>
      <c r="V26" s="43"/>
      <c r="W26" s="2"/>
      <c r="X26" s="34" t="s">
        <v>153</v>
      </c>
      <c r="Y26" s="35" t="s">
        <v>154</v>
      </c>
      <c r="Z26" s="36">
        <v>8000.0</v>
      </c>
      <c r="AA26" s="37">
        <f t="shared" si="1"/>
        <v>6400</v>
      </c>
      <c r="AB26" s="2"/>
      <c r="AC26" s="2"/>
      <c r="AD26" s="2"/>
    </row>
    <row r="27" ht="43.5" customHeight="1">
      <c r="A27" s="39"/>
      <c r="B27" s="24"/>
      <c r="C27" s="25" t="s">
        <v>155</v>
      </c>
      <c r="D27" s="62">
        <v>3218.0</v>
      </c>
      <c r="E27" s="40" t="s">
        <v>156</v>
      </c>
      <c r="F27" s="62">
        <v>836.0</v>
      </c>
      <c r="G27" s="32" t="s">
        <v>114</v>
      </c>
      <c r="H27" s="41">
        <v>8.809668465273E12</v>
      </c>
      <c r="I27" s="41">
        <v>1.880966846527E13</v>
      </c>
      <c r="J27" s="32" t="s">
        <v>38</v>
      </c>
      <c r="K27" s="32">
        <v>18.0</v>
      </c>
      <c r="L27" s="44" t="s">
        <v>157</v>
      </c>
      <c r="M27" s="44" t="s">
        <v>157</v>
      </c>
      <c r="N27" s="44" t="s">
        <v>41</v>
      </c>
      <c r="O27" s="44" t="s">
        <v>42</v>
      </c>
      <c r="P27" s="32">
        <v>20.0</v>
      </c>
      <c r="Q27" s="42">
        <v>25.0</v>
      </c>
      <c r="R27" s="32" t="s">
        <v>43</v>
      </c>
      <c r="S27" s="32">
        <v>9.95</v>
      </c>
      <c r="T27" s="32">
        <v>7.62</v>
      </c>
      <c r="U27" s="32" t="s">
        <v>44</v>
      </c>
      <c r="V27" s="43"/>
      <c r="W27" s="2"/>
      <c r="X27" s="34" t="s">
        <v>158</v>
      </c>
      <c r="Y27" s="35" t="s">
        <v>159</v>
      </c>
      <c r="Z27" s="36">
        <v>8000.0</v>
      </c>
      <c r="AA27" s="37">
        <f t="shared" si="1"/>
        <v>6400</v>
      </c>
      <c r="AB27" s="2"/>
      <c r="AC27" s="2"/>
      <c r="AD27" s="2"/>
    </row>
    <row r="28" ht="43.5" customHeight="1">
      <c r="A28" s="39"/>
      <c r="B28" s="24"/>
      <c r="C28" s="25" t="s">
        <v>160</v>
      </c>
      <c r="D28" s="62">
        <v>3105.0</v>
      </c>
      <c r="E28" s="40" t="s">
        <v>161</v>
      </c>
      <c r="F28" s="62">
        <v>237.0</v>
      </c>
      <c r="G28" s="32" t="s">
        <v>114</v>
      </c>
      <c r="H28" s="41">
        <v>8.80966846528E12</v>
      </c>
      <c r="I28" s="41">
        <v>1.8809668465287E13</v>
      </c>
      <c r="J28" s="32" t="s">
        <v>38</v>
      </c>
      <c r="K28" s="32">
        <v>21.0</v>
      </c>
      <c r="L28" s="44" t="s">
        <v>162</v>
      </c>
      <c r="M28" s="44" t="s">
        <v>163</v>
      </c>
      <c r="N28" s="44" t="s">
        <v>41</v>
      </c>
      <c r="O28" s="44" t="s">
        <v>42</v>
      </c>
      <c r="P28" s="32">
        <v>20.0</v>
      </c>
      <c r="Q28" s="42">
        <v>25.0</v>
      </c>
      <c r="R28" s="32" t="s">
        <v>43</v>
      </c>
      <c r="S28" s="32">
        <v>15.875</v>
      </c>
      <c r="T28" s="32">
        <v>7.62</v>
      </c>
      <c r="U28" s="32" t="s">
        <v>44</v>
      </c>
      <c r="V28" s="43"/>
      <c r="W28" s="2"/>
      <c r="X28" s="34" t="s">
        <v>164</v>
      </c>
      <c r="Y28" s="35" t="s">
        <v>165</v>
      </c>
      <c r="Z28" s="36">
        <v>8000.0</v>
      </c>
      <c r="AA28" s="37">
        <f t="shared" si="1"/>
        <v>6400</v>
      </c>
      <c r="AB28" s="2"/>
      <c r="AC28" s="2"/>
      <c r="AD28" s="2"/>
    </row>
    <row r="29" ht="43.5" customHeight="1">
      <c r="A29" s="39"/>
      <c r="B29" s="45"/>
      <c r="C29" s="46" t="s">
        <v>166</v>
      </c>
      <c r="D29" s="65">
        <v>3106.0</v>
      </c>
      <c r="E29" s="48" t="s">
        <v>167</v>
      </c>
      <c r="F29" s="65">
        <v>238.0</v>
      </c>
      <c r="G29" s="47" t="s">
        <v>114</v>
      </c>
      <c r="H29" s="50">
        <v>8.809668465297E12</v>
      </c>
      <c r="I29" s="50">
        <v>1.8809668465294E13</v>
      </c>
      <c r="J29" s="47" t="s">
        <v>38</v>
      </c>
      <c r="K29" s="47">
        <v>24.0</v>
      </c>
      <c r="L29" s="51" t="s">
        <v>168</v>
      </c>
      <c r="M29" s="51" t="s">
        <v>169</v>
      </c>
      <c r="N29" s="51" t="s">
        <v>41</v>
      </c>
      <c r="O29" s="51" t="s">
        <v>42</v>
      </c>
      <c r="P29" s="47">
        <v>20.0</v>
      </c>
      <c r="Q29" s="52">
        <v>25.0</v>
      </c>
      <c r="R29" s="47" t="s">
        <v>43</v>
      </c>
      <c r="S29" s="47">
        <v>13.0</v>
      </c>
      <c r="T29" s="47">
        <v>6.5</v>
      </c>
      <c r="U29" s="47" t="s">
        <v>44</v>
      </c>
      <c r="V29" s="53"/>
      <c r="W29" s="2"/>
      <c r="X29" s="34" t="s">
        <v>170</v>
      </c>
      <c r="Y29" s="35" t="s">
        <v>171</v>
      </c>
      <c r="Z29" s="36">
        <v>8000.0</v>
      </c>
      <c r="AA29" s="37">
        <f t="shared" si="1"/>
        <v>6400</v>
      </c>
      <c r="AB29" s="2"/>
      <c r="AC29" s="2"/>
      <c r="AD29" s="2"/>
    </row>
    <row r="30" ht="43.5" customHeight="1">
      <c r="A30" s="39"/>
      <c r="B30" s="24"/>
      <c r="C30" s="25" t="s">
        <v>172</v>
      </c>
      <c r="D30" s="32">
        <v>3620.0</v>
      </c>
      <c r="E30" s="40" t="s">
        <v>116</v>
      </c>
      <c r="F30" s="32">
        <v>616.0</v>
      </c>
      <c r="G30" s="32" t="s">
        <v>114</v>
      </c>
      <c r="H30" s="29">
        <v>8.809668465303E12</v>
      </c>
      <c r="I30" s="29">
        <v>1.88096684653E13</v>
      </c>
      <c r="J30" s="32" t="s">
        <v>38</v>
      </c>
      <c r="K30" s="32">
        <v>6.0</v>
      </c>
      <c r="L30" s="30" t="s">
        <v>117</v>
      </c>
      <c r="M30" s="44" t="s">
        <v>117</v>
      </c>
      <c r="N30" s="44" t="s">
        <v>83</v>
      </c>
      <c r="O30" s="44" t="s">
        <v>84</v>
      </c>
      <c r="P30" s="32">
        <v>100.0</v>
      </c>
      <c r="Q30" s="42">
        <v>10.0</v>
      </c>
      <c r="R30" s="32" t="s">
        <v>43</v>
      </c>
      <c r="S30" s="32">
        <v>19.0</v>
      </c>
      <c r="T30" s="32">
        <v>45.0</v>
      </c>
      <c r="U30" s="32" t="s">
        <v>44</v>
      </c>
      <c r="V30" s="43"/>
      <c r="W30" s="2"/>
      <c r="X30" s="34" t="s">
        <v>173</v>
      </c>
      <c r="Y30" s="35" t="s">
        <v>174</v>
      </c>
      <c r="Z30" s="36">
        <v>29000.0</v>
      </c>
      <c r="AA30" s="37">
        <f t="shared" si="1"/>
        <v>23200</v>
      </c>
      <c r="AB30" s="2"/>
      <c r="AC30" s="2"/>
      <c r="AD30" s="2"/>
    </row>
    <row r="31" ht="43.5" customHeight="1">
      <c r="A31" s="39"/>
      <c r="B31" s="24"/>
      <c r="C31" s="25" t="s">
        <v>175</v>
      </c>
      <c r="D31" s="32">
        <v>3114.0</v>
      </c>
      <c r="E31" s="40" t="s">
        <v>121</v>
      </c>
      <c r="F31" s="32">
        <v>224.0</v>
      </c>
      <c r="G31" s="32" t="s">
        <v>114</v>
      </c>
      <c r="H31" s="41">
        <v>8.80966846531E12</v>
      </c>
      <c r="I31" s="41">
        <v>1.8809668465317E13</v>
      </c>
      <c r="J31" s="32" t="s">
        <v>38</v>
      </c>
      <c r="K31" s="32">
        <v>8.0</v>
      </c>
      <c r="L31" s="44" t="s">
        <v>122</v>
      </c>
      <c r="M31" s="44" t="s">
        <v>123</v>
      </c>
      <c r="N31" s="44" t="s">
        <v>83</v>
      </c>
      <c r="O31" s="44" t="s">
        <v>84</v>
      </c>
      <c r="P31" s="32">
        <v>100.0</v>
      </c>
      <c r="Q31" s="42">
        <v>10.0</v>
      </c>
      <c r="R31" s="32" t="s">
        <v>43</v>
      </c>
      <c r="S31" s="32">
        <v>13.792</v>
      </c>
      <c r="T31" s="32">
        <v>5.086</v>
      </c>
      <c r="U31" s="32" t="s">
        <v>44</v>
      </c>
      <c r="V31" s="43"/>
      <c r="W31" s="2"/>
      <c r="X31" s="34" t="s">
        <v>176</v>
      </c>
      <c r="Y31" s="35" t="s">
        <v>177</v>
      </c>
      <c r="Z31" s="36">
        <v>29000.0</v>
      </c>
      <c r="AA31" s="37">
        <f t="shared" si="1"/>
        <v>23200</v>
      </c>
      <c r="AB31" s="2"/>
      <c r="AC31" s="2"/>
      <c r="AD31" s="2"/>
    </row>
    <row r="32" ht="43.5" customHeight="1">
      <c r="A32" s="39"/>
      <c r="B32" s="24"/>
      <c r="C32" s="25" t="s">
        <v>178</v>
      </c>
      <c r="D32" s="32">
        <v>3114.0</v>
      </c>
      <c r="E32" s="40" t="s">
        <v>121</v>
      </c>
      <c r="F32" s="32">
        <v>224.0</v>
      </c>
      <c r="G32" s="32" t="s">
        <v>114</v>
      </c>
      <c r="H32" s="55">
        <v>8.809668466188E12</v>
      </c>
      <c r="I32" s="55">
        <v>1.8809668466185E13</v>
      </c>
      <c r="J32" s="32" t="s">
        <v>38</v>
      </c>
      <c r="K32" s="32">
        <v>8.0</v>
      </c>
      <c r="L32" s="44" t="s">
        <v>122</v>
      </c>
      <c r="M32" s="44" t="s">
        <v>123</v>
      </c>
      <c r="N32" s="44" t="s">
        <v>88</v>
      </c>
      <c r="O32" s="44" t="s">
        <v>89</v>
      </c>
      <c r="P32" s="32">
        <v>200.0</v>
      </c>
      <c r="Q32" s="42">
        <v>5.0</v>
      </c>
      <c r="R32" s="32" t="s">
        <v>43</v>
      </c>
      <c r="S32" s="32">
        <v>13.792</v>
      </c>
      <c r="T32" s="32">
        <v>5.086</v>
      </c>
      <c r="U32" s="32" t="s">
        <v>44</v>
      </c>
      <c r="V32" s="43"/>
      <c r="W32" s="2"/>
      <c r="X32" s="58" t="s">
        <v>179</v>
      </c>
      <c r="Y32" s="59" t="s">
        <v>180</v>
      </c>
      <c r="Z32" s="36">
        <v>50000.0</v>
      </c>
      <c r="AA32" s="37">
        <f t="shared" si="1"/>
        <v>40000</v>
      </c>
      <c r="AB32" s="2"/>
      <c r="AC32" s="2"/>
      <c r="AD32" s="2"/>
    </row>
    <row r="33" ht="43.5" customHeight="1">
      <c r="A33" s="39"/>
      <c r="B33" s="24"/>
      <c r="C33" s="25" t="s">
        <v>181</v>
      </c>
      <c r="D33" s="32">
        <v>3510.0</v>
      </c>
      <c r="E33" s="40" t="s">
        <v>127</v>
      </c>
      <c r="F33" s="32"/>
      <c r="G33" s="32" t="s">
        <v>114</v>
      </c>
      <c r="H33" s="41">
        <v>8.809668465327E12</v>
      </c>
      <c r="I33" s="41">
        <v>1.8809668465324E13</v>
      </c>
      <c r="J33" s="32" t="s">
        <v>38</v>
      </c>
      <c r="K33" s="32">
        <v>10.0</v>
      </c>
      <c r="L33" s="44" t="s">
        <v>128</v>
      </c>
      <c r="M33" s="44" t="s">
        <v>182</v>
      </c>
      <c r="N33" s="44" t="s">
        <v>83</v>
      </c>
      <c r="O33" s="44" t="s">
        <v>84</v>
      </c>
      <c r="P33" s="32">
        <v>100.0</v>
      </c>
      <c r="Q33" s="42">
        <v>10.0</v>
      </c>
      <c r="R33" s="32" t="s">
        <v>43</v>
      </c>
      <c r="S33" s="32">
        <v>20.5</v>
      </c>
      <c r="T33" s="32">
        <v>11.5</v>
      </c>
      <c r="U33" s="32" t="s">
        <v>44</v>
      </c>
      <c r="V33" s="43"/>
      <c r="W33" s="2"/>
      <c r="X33" s="34" t="s">
        <v>183</v>
      </c>
      <c r="Y33" s="35" t="s">
        <v>184</v>
      </c>
      <c r="Z33" s="36">
        <v>29000.0</v>
      </c>
      <c r="AA33" s="37">
        <f t="shared" si="1"/>
        <v>23200</v>
      </c>
      <c r="AB33" s="2"/>
      <c r="AC33" s="2"/>
      <c r="AD33" s="2"/>
    </row>
    <row r="34" ht="43.5" customHeight="1">
      <c r="A34" s="39"/>
      <c r="B34" s="24"/>
      <c r="C34" s="25" t="s">
        <v>185</v>
      </c>
      <c r="D34" s="32">
        <v>3212.0</v>
      </c>
      <c r="E34" s="66" t="s">
        <v>133</v>
      </c>
      <c r="F34" s="62"/>
      <c r="G34" s="32" t="s">
        <v>114</v>
      </c>
      <c r="H34" s="41">
        <v>8.809668465334E12</v>
      </c>
      <c r="I34" s="41">
        <v>1.8809668465331E13</v>
      </c>
      <c r="J34" s="32" t="s">
        <v>38</v>
      </c>
      <c r="K34" s="32">
        <v>12.0</v>
      </c>
      <c r="L34" s="44" t="s">
        <v>134</v>
      </c>
      <c r="M34" s="44" t="s">
        <v>135</v>
      </c>
      <c r="N34" s="44" t="s">
        <v>83</v>
      </c>
      <c r="O34" s="44" t="s">
        <v>84</v>
      </c>
      <c r="P34" s="32">
        <v>100.0</v>
      </c>
      <c r="Q34" s="42">
        <v>10.0</v>
      </c>
      <c r="R34" s="32" t="s">
        <v>43</v>
      </c>
      <c r="S34" s="32">
        <v>7.5</v>
      </c>
      <c r="T34" s="32">
        <v>4.0</v>
      </c>
      <c r="U34" s="32" t="s">
        <v>44</v>
      </c>
      <c r="V34" s="43"/>
      <c r="W34" s="2"/>
      <c r="X34" s="34" t="s">
        <v>186</v>
      </c>
      <c r="Y34" s="35" t="s">
        <v>187</v>
      </c>
      <c r="Z34" s="36">
        <v>29000.0</v>
      </c>
      <c r="AA34" s="37">
        <f t="shared" si="1"/>
        <v>23200</v>
      </c>
      <c r="AB34" s="2"/>
      <c r="AC34" s="2"/>
      <c r="AD34" s="2"/>
    </row>
    <row r="35" ht="43.5" customHeight="1">
      <c r="A35" s="39"/>
      <c r="B35" s="24"/>
      <c r="C35" s="25" t="s">
        <v>188</v>
      </c>
      <c r="D35" s="62">
        <v>3108.0</v>
      </c>
      <c r="E35" s="66" t="s">
        <v>139</v>
      </c>
      <c r="F35" s="62">
        <v>227.0</v>
      </c>
      <c r="G35" s="62" t="s">
        <v>114</v>
      </c>
      <c r="H35" s="41">
        <v>8.809668465341E12</v>
      </c>
      <c r="I35" s="41">
        <v>1.8809668465348E13</v>
      </c>
      <c r="J35" s="32" t="s">
        <v>38</v>
      </c>
      <c r="K35" s="32">
        <v>14.0</v>
      </c>
      <c r="L35" s="44" t="s">
        <v>140</v>
      </c>
      <c r="M35" s="44" t="s">
        <v>141</v>
      </c>
      <c r="N35" s="44" t="s">
        <v>83</v>
      </c>
      <c r="O35" s="44" t="s">
        <v>84</v>
      </c>
      <c r="P35" s="32">
        <v>100.0</v>
      </c>
      <c r="Q35" s="42">
        <v>10.0</v>
      </c>
      <c r="R35" s="32" t="s">
        <v>43</v>
      </c>
      <c r="S35" s="32">
        <v>15.875</v>
      </c>
      <c r="T35" s="32">
        <v>5.086</v>
      </c>
      <c r="U35" s="32" t="s">
        <v>44</v>
      </c>
      <c r="V35" s="43"/>
      <c r="W35" s="2"/>
      <c r="X35" s="34" t="s">
        <v>189</v>
      </c>
      <c r="Y35" s="35" t="s">
        <v>190</v>
      </c>
      <c r="Z35" s="36">
        <v>29000.0</v>
      </c>
      <c r="AA35" s="37">
        <f t="shared" si="1"/>
        <v>23200</v>
      </c>
      <c r="AB35" s="2"/>
      <c r="AC35" s="2"/>
      <c r="AD35" s="2"/>
    </row>
    <row r="36" ht="43.5" customHeight="1">
      <c r="A36" s="39"/>
      <c r="B36" s="63"/>
      <c r="C36" s="67" t="s">
        <v>191</v>
      </c>
      <c r="D36" s="68">
        <v>3107.0</v>
      </c>
      <c r="E36" s="69" t="s">
        <v>145</v>
      </c>
      <c r="F36" s="68">
        <v>228.0</v>
      </c>
      <c r="G36" s="68" t="s">
        <v>114</v>
      </c>
      <c r="H36" s="41">
        <v>8.809668465358E12</v>
      </c>
      <c r="I36" s="41">
        <v>1.8809668465355E13</v>
      </c>
      <c r="J36" s="32" t="s">
        <v>38</v>
      </c>
      <c r="K36" s="32">
        <v>16.0</v>
      </c>
      <c r="L36" s="44" t="s">
        <v>146</v>
      </c>
      <c r="M36" s="44" t="s">
        <v>147</v>
      </c>
      <c r="N36" s="44" t="s">
        <v>83</v>
      </c>
      <c r="O36" s="44" t="s">
        <v>84</v>
      </c>
      <c r="P36" s="32">
        <v>100.0</v>
      </c>
      <c r="Q36" s="42">
        <v>10.0</v>
      </c>
      <c r="R36" s="32" t="s">
        <v>43</v>
      </c>
      <c r="S36" s="32">
        <v>13.792</v>
      </c>
      <c r="T36" s="32">
        <v>5.086</v>
      </c>
      <c r="U36" s="32" t="s">
        <v>44</v>
      </c>
      <c r="V36" s="43"/>
      <c r="W36" s="2"/>
      <c r="X36" s="34" t="s">
        <v>192</v>
      </c>
      <c r="Y36" s="35" t="s">
        <v>193</v>
      </c>
      <c r="Z36" s="36">
        <v>29000.0</v>
      </c>
      <c r="AA36" s="37">
        <f t="shared" si="1"/>
        <v>23200</v>
      </c>
      <c r="AB36" s="2"/>
      <c r="AC36" s="2"/>
      <c r="AD36" s="2"/>
    </row>
    <row r="37" ht="43.5" customHeight="1">
      <c r="A37" s="39"/>
      <c r="B37" s="63"/>
      <c r="C37" s="67" t="s">
        <v>194</v>
      </c>
      <c r="D37" s="68">
        <v>3107.0</v>
      </c>
      <c r="E37" s="69" t="s">
        <v>145</v>
      </c>
      <c r="F37" s="68">
        <v>228.0</v>
      </c>
      <c r="G37" s="68" t="s">
        <v>114</v>
      </c>
      <c r="H37" s="55">
        <v>8.809668466195E12</v>
      </c>
      <c r="I37" s="55">
        <v>1.8809668466192E13</v>
      </c>
      <c r="J37" s="32" t="s">
        <v>38</v>
      </c>
      <c r="K37" s="32">
        <v>16.0</v>
      </c>
      <c r="L37" s="44" t="s">
        <v>146</v>
      </c>
      <c r="M37" s="44" t="s">
        <v>147</v>
      </c>
      <c r="N37" s="44" t="s">
        <v>88</v>
      </c>
      <c r="O37" s="44" t="s">
        <v>89</v>
      </c>
      <c r="P37" s="32">
        <v>200.0</v>
      </c>
      <c r="Q37" s="42">
        <v>5.0</v>
      </c>
      <c r="R37" s="32" t="s">
        <v>43</v>
      </c>
      <c r="S37" s="32">
        <v>13.792</v>
      </c>
      <c r="T37" s="32">
        <v>5.086</v>
      </c>
      <c r="U37" s="32" t="s">
        <v>44</v>
      </c>
      <c r="V37" s="43"/>
      <c r="W37" s="2"/>
      <c r="X37" s="58" t="s">
        <v>195</v>
      </c>
      <c r="Y37" s="59" t="s">
        <v>196</v>
      </c>
      <c r="Z37" s="36">
        <v>50000.0</v>
      </c>
      <c r="AA37" s="37">
        <f t="shared" si="1"/>
        <v>40000</v>
      </c>
      <c r="AB37" s="2"/>
      <c r="AC37" s="2"/>
      <c r="AD37" s="2"/>
    </row>
    <row r="38" ht="43.5" customHeight="1">
      <c r="A38" s="39"/>
      <c r="B38" s="24"/>
      <c r="C38" s="25" t="s">
        <v>197</v>
      </c>
      <c r="D38" s="62">
        <v>3109.0</v>
      </c>
      <c r="E38" s="66" t="s">
        <v>151</v>
      </c>
      <c r="F38" s="62">
        <v>429.0</v>
      </c>
      <c r="G38" s="62" t="s">
        <v>114</v>
      </c>
      <c r="H38" s="41">
        <v>8.809668465365E12</v>
      </c>
      <c r="I38" s="41">
        <v>1.8809668465362E13</v>
      </c>
      <c r="J38" s="32" t="s">
        <v>38</v>
      </c>
      <c r="K38" s="32">
        <v>18.0</v>
      </c>
      <c r="L38" s="44" t="s">
        <v>152</v>
      </c>
      <c r="M38" s="44" t="s">
        <v>198</v>
      </c>
      <c r="N38" s="44" t="s">
        <v>83</v>
      </c>
      <c r="O38" s="44" t="s">
        <v>84</v>
      </c>
      <c r="P38" s="32">
        <v>100.0</v>
      </c>
      <c r="Q38" s="42">
        <v>10.0</v>
      </c>
      <c r="R38" s="32" t="s">
        <v>43</v>
      </c>
      <c r="S38" s="32">
        <v>13.0</v>
      </c>
      <c r="T38" s="32">
        <v>3.98</v>
      </c>
      <c r="U38" s="32" t="s">
        <v>44</v>
      </c>
      <c r="V38" s="43"/>
      <c r="W38" s="2"/>
      <c r="X38" s="34" t="s">
        <v>199</v>
      </c>
      <c r="Y38" s="35" t="s">
        <v>200</v>
      </c>
      <c r="Z38" s="36">
        <v>29000.0</v>
      </c>
      <c r="AA38" s="37">
        <f t="shared" si="1"/>
        <v>23200</v>
      </c>
      <c r="AB38" s="2"/>
      <c r="AC38" s="2"/>
      <c r="AD38" s="2"/>
    </row>
    <row r="39" ht="43.5" customHeight="1">
      <c r="A39" s="39"/>
      <c r="B39" s="24"/>
      <c r="C39" s="25" t="s">
        <v>201</v>
      </c>
      <c r="D39" s="32">
        <v>3218.0</v>
      </c>
      <c r="E39" s="40" t="s">
        <v>156</v>
      </c>
      <c r="F39" s="62">
        <v>836.0</v>
      </c>
      <c r="G39" s="62" t="s">
        <v>114</v>
      </c>
      <c r="H39" s="41">
        <v>8.809668465372E12</v>
      </c>
      <c r="I39" s="41">
        <v>1.8809668465379E13</v>
      </c>
      <c r="J39" s="32" t="s">
        <v>38</v>
      </c>
      <c r="K39" s="32">
        <v>18.0</v>
      </c>
      <c r="L39" s="44" t="s">
        <v>157</v>
      </c>
      <c r="M39" s="44" t="s">
        <v>157</v>
      </c>
      <c r="N39" s="44" t="s">
        <v>83</v>
      </c>
      <c r="O39" s="44" t="s">
        <v>84</v>
      </c>
      <c r="P39" s="32">
        <v>100.0</v>
      </c>
      <c r="Q39" s="42">
        <v>10.0</v>
      </c>
      <c r="R39" s="32" t="s">
        <v>43</v>
      </c>
      <c r="S39" s="32">
        <v>9.95</v>
      </c>
      <c r="T39" s="32">
        <v>7.62</v>
      </c>
      <c r="U39" s="32" t="s">
        <v>44</v>
      </c>
      <c r="V39" s="43"/>
      <c r="W39" s="2"/>
      <c r="X39" s="34" t="s">
        <v>202</v>
      </c>
      <c r="Y39" s="35" t="s">
        <v>203</v>
      </c>
      <c r="Z39" s="36">
        <v>29000.0</v>
      </c>
      <c r="AA39" s="37">
        <f t="shared" si="1"/>
        <v>23200</v>
      </c>
      <c r="AB39" s="2"/>
      <c r="AC39" s="2"/>
      <c r="AD39" s="2"/>
    </row>
    <row r="40" ht="43.5" customHeight="1">
      <c r="A40" s="39"/>
      <c r="B40" s="24"/>
      <c r="C40" s="25" t="s">
        <v>204</v>
      </c>
      <c r="D40" s="32">
        <v>3105.0</v>
      </c>
      <c r="E40" s="40" t="s">
        <v>161</v>
      </c>
      <c r="F40" s="32">
        <v>237.0</v>
      </c>
      <c r="G40" s="32" t="s">
        <v>114</v>
      </c>
      <c r="H40" s="41">
        <v>8.809668465389E12</v>
      </c>
      <c r="I40" s="41">
        <v>1.8809668465386E13</v>
      </c>
      <c r="J40" s="32" t="s">
        <v>38</v>
      </c>
      <c r="K40" s="32">
        <v>21.0</v>
      </c>
      <c r="L40" s="44" t="s">
        <v>162</v>
      </c>
      <c r="M40" s="44" t="s">
        <v>163</v>
      </c>
      <c r="N40" s="44" t="s">
        <v>83</v>
      </c>
      <c r="O40" s="44" t="s">
        <v>84</v>
      </c>
      <c r="P40" s="32">
        <v>100.0</v>
      </c>
      <c r="Q40" s="42">
        <v>10.0</v>
      </c>
      <c r="R40" s="32" t="s">
        <v>43</v>
      </c>
      <c r="S40" s="32">
        <v>15.875</v>
      </c>
      <c r="T40" s="32">
        <v>7.62</v>
      </c>
      <c r="U40" s="32" t="s">
        <v>44</v>
      </c>
      <c r="V40" s="43"/>
      <c r="W40" s="2"/>
      <c r="X40" s="34" t="s">
        <v>205</v>
      </c>
      <c r="Y40" s="35" t="s">
        <v>206</v>
      </c>
      <c r="Z40" s="36">
        <v>29000.0</v>
      </c>
      <c r="AA40" s="37">
        <f t="shared" si="1"/>
        <v>23200</v>
      </c>
      <c r="AB40" s="2"/>
      <c r="AC40" s="2"/>
      <c r="AD40" s="2"/>
    </row>
    <row r="41" ht="43.5" customHeight="1">
      <c r="A41" s="39"/>
      <c r="B41" s="45"/>
      <c r="C41" s="46" t="s">
        <v>207</v>
      </c>
      <c r="D41" s="47">
        <v>3106.0</v>
      </c>
      <c r="E41" s="40" t="s">
        <v>167</v>
      </c>
      <c r="F41" s="47">
        <v>238.0</v>
      </c>
      <c r="G41" s="32" t="s">
        <v>114</v>
      </c>
      <c r="H41" s="50">
        <v>8.809668465396E12</v>
      </c>
      <c r="I41" s="50">
        <v>1.8809668465393E13</v>
      </c>
      <c r="J41" s="32" t="s">
        <v>38</v>
      </c>
      <c r="K41" s="32">
        <v>24.0</v>
      </c>
      <c r="L41" s="51" t="s">
        <v>168</v>
      </c>
      <c r="M41" s="44" t="s">
        <v>169</v>
      </c>
      <c r="N41" s="44" t="s">
        <v>83</v>
      </c>
      <c r="O41" s="44" t="s">
        <v>84</v>
      </c>
      <c r="P41" s="32">
        <v>100.0</v>
      </c>
      <c r="Q41" s="42">
        <v>10.0</v>
      </c>
      <c r="R41" s="32" t="s">
        <v>43</v>
      </c>
      <c r="S41" s="32">
        <v>13.0</v>
      </c>
      <c r="T41" s="32">
        <v>6.5</v>
      </c>
      <c r="U41" s="32" t="s">
        <v>44</v>
      </c>
      <c r="V41" s="43"/>
      <c r="W41" s="2"/>
      <c r="X41" s="34" t="s">
        <v>208</v>
      </c>
      <c r="Y41" s="35" t="s">
        <v>209</v>
      </c>
      <c r="Z41" s="36">
        <v>29000.0</v>
      </c>
      <c r="AA41" s="37">
        <f t="shared" si="1"/>
        <v>23200</v>
      </c>
      <c r="AB41" s="2"/>
      <c r="AC41" s="2"/>
      <c r="AD41" s="2"/>
    </row>
    <row r="42" ht="43.5" customHeight="1">
      <c r="A42" s="23" t="s">
        <v>210</v>
      </c>
      <c r="B42" s="24"/>
      <c r="C42" s="25" t="s">
        <v>211</v>
      </c>
      <c r="D42" s="26">
        <v>3104.0</v>
      </c>
      <c r="E42" s="27" t="s">
        <v>212</v>
      </c>
      <c r="F42" s="26">
        <v>239.0</v>
      </c>
      <c r="G42" s="26" t="s">
        <v>213</v>
      </c>
      <c r="H42" s="29">
        <v>8.809668465402E12</v>
      </c>
      <c r="I42" s="29">
        <v>1.8809668465409E13</v>
      </c>
      <c r="J42" s="26" t="s">
        <v>38</v>
      </c>
      <c r="K42" s="26">
        <v>27.0</v>
      </c>
      <c r="L42" s="30" t="s">
        <v>214</v>
      </c>
      <c r="M42" s="30" t="s">
        <v>215</v>
      </c>
      <c r="N42" s="30" t="s">
        <v>41</v>
      </c>
      <c r="O42" s="30" t="s">
        <v>42</v>
      </c>
      <c r="P42" s="26">
        <v>20.0</v>
      </c>
      <c r="Q42" s="31">
        <v>25.0</v>
      </c>
      <c r="R42" s="26" t="s">
        <v>43</v>
      </c>
      <c r="S42" s="26">
        <v>10.8</v>
      </c>
      <c r="T42" s="26">
        <v>8.7</v>
      </c>
      <c r="U42" s="26" t="s">
        <v>44</v>
      </c>
      <c r="V42" s="33"/>
      <c r="W42" s="2"/>
      <c r="X42" s="34" t="s">
        <v>216</v>
      </c>
      <c r="Y42" s="35" t="s">
        <v>217</v>
      </c>
      <c r="Z42" s="36">
        <v>8000.0</v>
      </c>
      <c r="AA42" s="37">
        <f t="shared" si="1"/>
        <v>6400</v>
      </c>
      <c r="AB42" s="2"/>
      <c r="AC42" s="2"/>
      <c r="AD42" s="2"/>
    </row>
    <row r="43" ht="43.5" customHeight="1">
      <c r="A43" s="39"/>
      <c r="B43" s="24"/>
      <c r="C43" s="25" t="s">
        <v>218</v>
      </c>
      <c r="D43" s="32">
        <v>3102.0</v>
      </c>
      <c r="E43" s="40" t="s">
        <v>219</v>
      </c>
      <c r="F43" s="32">
        <v>540.0</v>
      </c>
      <c r="G43" s="32" t="s">
        <v>213</v>
      </c>
      <c r="H43" s="41">
        <v>8.809668465419E12</v>
      </c>
      <c r="I43" s="41">
        <v>1.8809668465416E13</v>
      </c>
      <c r="J43" s="32" t="s">
        <v>38</v>
      </c>
      <c r="K43" s="32">
        <v>40.0</v>
      </c>
      <c r="L43" s="44" t="s">
        <v>220</v>
      </c>
      <c r="M43" s="44" t="s">
        <v>221</v>
      </c>
      <c r="N43" s="44" t="s">
        <v>41</v>
      </c>
      <c r="O43" s="44" t="s">
        <v>42</v>
      </c>
      <c r="P43" s="32">
        <v>20.0</v>
      </c>
      <c r="Q43" s="42">
        <v>25.0</v>
      </c>
      <c r="R43" s="32" t="s">
        <v>43</v>
      </c>
      <c r="S43" s="32">
        <v>14.0</v>
      </c>
      <c r="T43" s="32">
        <v>7.5</v>
      </c>
      <c r="U43" s="32" t="s">
        <v>44</v>
      </c>
      <c r="V43" s="43"/>
      <c r="W43" s="2"/>
      <c r="X43" s="34" t="s">
        <v>222</v>
      </c>
      <c r="Y43" s="35" t="s">
        <v>223</v>
      </c>
      <c r="Z43" s="36">
        <v>8000.0</v>
      </c>
      <c r="AA43" s="37">
        <f t="shared" si="1"/>
        <v>6400</v>
      </c>
      <c r="AB43" s="2"/>
      <c r="AC43" s="2"/>
      <c r="AD43" s="2"/>
    </row>
    <row r="44" ht="43.5" customHeight="1">
      <c r="A44" s="39"/>
      <c r="B44" s="24"/>
      <c r="C44" s="25" t="s">
        <v>224</v>
      </c>
      <c r="D44" s="32"/>
      <c r="E44" s="40" t="s">
        <v>225</v>
      </c>
      <c r="F44" s="32">
        <v>547.0</v>
      </c>
      <c r="G44" s="32" t="s">
        <v>213</v>
      </c>
      <c r="H44" s="41">
        <v>8.809668465426E12</v>
      </c>
      <c r="I44" s="41">
        <v>1.8809668465423E13</v>
      </c>
      <c r="J44" s="32" t="s">
        <v>38</v>
      </c>
      <c r="K44" s="32">
        <v>48.0</v>
      </c>
      <c r="L44" s="44" t="s">
        <v>226</v>
      </c>
      <c r="M44" s="44" t="s">
        <v>227</v>
      </c>
      <c r="N44" s="44" t="s">
        <v>41</v>
      </c>
      <c r="O44" s="44" t="s">
        <v>42</v>
      </c>
      <c r="P44" s="32">
        <v>20.0</v>
      </c>
      <c r="Q44" s="42">
        <v>25.0</v>
      </c>
      <c r="R44" s="32" t="s">
        <v>43</v>
      </c>
      <c r="S44" s="32">
        <v>21.41</v>
      </c>
      <c r="T44" s="32">
        <v>9.75</v>
      </c>
      <c r="U44" s="32" t="s">
        <v>44</v>
      </c>
      <c r="V44" s="43"/>
      <c r="W44" s="2"/>
      <c r="X44" s="34" t="s">
        <v>228</v>
      </c>
      <c r="Y44" s="35" t="s">
        <v>229</v>
      </c>
      <c r="Z44" s="36">
        <v>8000.0</v>
      </c>
      <c r="AA44" s="37">
        <f t="shared" si="1"/>
        <v>6400</v>
      </c>
      <c r="AB44" s="2"/>
      <c r="AC44" s="2"/>
      <c r="AD44" s="2"/>
    </row>
    <row r="45" ht="43.5" customHeight="1">
      <c r="A45" s="39"/>
      <c r="B45" s="24"/>
      <c r="C45" s="25" t="s">
        <v>230</v>
      </c>
      <c r="D45" s="32">
        <v>3110.0</v>
      </c>
      <c r="E45" s="40" t="s">
        <v>231</v>
      </c>
      <c r="F45" s="32">
        <v>554.0</v>
      </c>
      <c r="G45" s="32" t="s">
        <v>213</v>
      </c>
      <c r="H45" s="41">
        <v>8.809668465433E12</v>
      </c>
      <c r="I45" s="41">
        <v>1.880966846543E13</v>
      </c>
      <c r="J45" s="32" t="s">
        <v>38</v>
      </c>
      <c r="K45" s="32">
        <v>54.0</v>
      </c>
      <c r="L45" s="44" t="s">
        <v>232</v>
      </c>
      <c r="M45" s="44" t="s">
        <v>232</v>
      </c>
      <c r="N45" s="44" t="s">
        <v>41</v>
      </c>
      <c r="O45" s="44" t="s">
        <v>42</v>
      </c>
      <c r="P45" s="32">
        <v>20.0</v>
      </c>
      <c r="Q45" s="42">
        <v>25.0</v>
      </c>
      <c r="R45" s="32" t="s">
        <v>43</v>
      </c>
      <c r="S45" s="32">
        <v>7.0</v>
      </c>
      <c r="T45" s="32">
        <v>18.0</v>
      </c>
      <c r="U45" s="32" t="s">
        <v>44</v>
      </c>
      <c r="V45" s="43"/>
      <c r="W45" s="2"/>
      <c r="X45" s="34" t="s">
        <v>233</v>
      </c>
      <c r="Y45" s="35" t="s">
        <v>234</v>
      </c>
      <c r="Z45" s="36">
        <v>8000.0</v>
      </c>
      <c r="AA45" s="37">
        <f t="shared" si="1"/>
        <v>6400</v>
      </c>
      <c r="AB45" s="2"/>
      <c r="AC45" s="2"/>
      <c r="AD45" s="2"/>
    </row>
    <row r="46" ht="43.5" customHeight="1">
      <c r="A46" s="39"/>
      <c r="B46" s="24"/>
      <c r="C46" s="25" t="s">
        <v>235</v>
      </c>
      <c r="D46" s="32">
        <v>3101.0</v>
      </c>
      <c r="E46" s="40" t="s">
        <v>236</v>
      </c>
      <c r="F46" s="32">
        <v>562.0</v>
      </c>
      <c r="G46" s="32" t="s">
        <v>213</v>
      </c>
      <c r="H46" s="41">
        <v>8.80966846544E12</v>
      </c>
      <c r="I46" s="41">
        <v>1.8809668465447E13</v>
      </c>
      <c r="J46" s="32" t="s">
        <v>38</v>
      </c>
      <c r="K46" s="32">
        <v>60.0</v>
      </c>
      <c r="L46" s="44" t="s">
        <v>237</v>
      </c>
      <c r="M46" s="44" t="s">
        <v>238</v>
      </c>
      <c r="N46" s="44" t="s">
        <v>41</v>
      </c>
      <c r="O46" s="44" t="s">
        <v>42</v>
      </c>
      <c r="P46" s="32">
        <v>20.0</v>
      </c>
      <c r="Q46" s="42">
        <v>25.0</v>
      </c>
      <c r="R46" s="32" t="s">
        <v>43</v>
      </c>
      <c r="S46" s="32">
        <v>23.5</v>
      </c>
      <c r="T46" s="32">
        <v>6.0</v>
      </c>
      <c r="U46" s="32" t="s">
        <v>44</v>
      </c>
      <c r="V46" s="43"/>
      <c r="W46" s="2"/>
      <c r="X46" s="34" t="s">
        <v>239</v>
      </c>
      <c r="Y46" s="35" t="s">
        <v>240</v>
      </c>
      <c r="Z46" s="36">
        <v>8000.0</v>
      </c>
      <c r="AA46" s="37">
        <f t="shared" si="1"/>
        <v>6400</v>
      </c>
      <c r="AB46" s="2"/>
      <c r="AC46" s="2"/>
      <c r="AD46" s="2"/>
    </row>
    <row r="47" ht="43.5" customHeight="1">
      <c r="A47" s="39"/>
      <c r="B47" s="45"/>
      <c r="C47" s="46" t="s">
        <v>241</v>
      </c>
      <c r="D47" s="47">
        <v>3100.0</v>
      </c>
      <c r="E47" s="48" t="s">
        <v>242</v>
      </c>
      <c r="F47" s="47">
        <v>551.0</v>
      </c>
      <c r="G47" s="47" t="s">
        <v>213</v>
      </c>
      <c r="H47" s="50">
        <v>8.809668465457E12</v>
      </c>
      <c r="I47" s="50">
        <v>1.8809668465454E13</v>
      </c>
      <c r="J47" s="47" t="s">
        <v>38</v>
      </c>
      <c r="K47" s="47">
        <v>65.0</v>
      </c>
      <c r="L47" s="51" t="s">
        <v>243</v>
      </c>
      <c r="M47" s="51" t="s">
        <v>244</v>
      </c>
      <c r="N47" s="51" t="s">
        <v>41</v>
      </c>
      <c r="O47" s="51" t="s">
        <v>42</v>
      </c>
      <c r="P47" s="47">
        <v>20.0</v>
      </c>
      <c r="Q47" s="52">
        <v>25.0</v>
      </c>
      <c r="R47" s="47" t="s">
        <v>43</v>
      </c>
      <c r="S47" s="47">
        <v>12.19</v>
      </c>
      <c r="T47" s="47">
        <v>5.09</v>
      </c>
      <c r="U47" s="47" t="s">
        <v>44</v>
      </c>
      <c r="V47" s="53"/>
      <c r="W47" s="2"/>
      <c r="X47" s="34" t="s">
        <v>245</v>
      </c>
      <c r="Y47" s="35" t="s">
        <v>246</v>
      </c>
      <c r="Z47" s="36">
        <v>8000.0</v>
      </c>
      <c r="AA47" s="37">
        <f t="shared" si="1"/>
        <v>6400</v>
      </c>
      <c r="AB47" s="2"/>
      <c r="AC47" s="2"/>
      <c r="AD47" s="2"/>
    </row>
    <row r="48" ht="43.5" customHeight="1">
      <c r="A48" s="39"/>
      <c r="B48" s="24"/>
      <c r="C48" s="25" t="s">
        <v>247</v>
      </c>
      <c r="D48" s="26">
        <v>3104.0</v>
      </c>
      <c r="E48" s="40" t="s">
        <v>212</v>
      </c>
      <c r="F48" s="26">
        <v>239.0</v>
      </c>
      <c r="G48" s="32" t="s">
        <v>213</v>
      </c>
      <c r="H48" s="29">
        <v>8.809668465464E12</v>
      </c>
      <c r="I48" s="29">
        <v>1.8809668465461E13</v>
      </c>
      <c r="J48" s="32" t="s">
        <v>38</v>
      </c>
      <c r="K48" s="32">
        <v>27.0</v>
      </c>
      <c r="L48" s="44" t="s">
        <v>214</v>
      </c>
      <c r="M48" s="44" t="s">
        <v>215</v>
      </c>
      <c r="N48" s="44" t="s">
        <v>83</v>
      </c>
      <c r="O48" s="44" t="s">
        <v>84</v>
      </c>
      <c r="P48" s="32">
        <v>100.0</v>
      </c>
      <c r="Q48" s="42">
        <v>10.0</v>
      </c>
      <c r="R48" s="32" t="s">
        <v>43</v>
      </c>
      <c r="S48" s="32">
        <v>10.8</v>
      </c>
      <c r="T48" s="32">
        <v>8.7</v>
      </c>
      <c r="U48" s="32" t="s">
        <v>44</v>
      </c>
      <c r="V48" s="43"/>
      <c r="W48" s="2"/>
      <c r="X48" s="34" t="s">
        <v>248</v>
      </c>
      <c r="Y48" s="35" t="s">
        <v>249</v>
      </c>
      <c r="Z48" s="36">
        <v>29000.0</v>
      </c>
      <c r="AA48" s="37">
        <f t="shared" si="1"/>
        <v>23200</v>
      </c>
      <c r="AB48" s="2"/>
      <c r="AC48" s="2"/>
      <c r="AD48" s="2"/>
    </row>
    <row r="49" ht="43.5" customHeight="1">
      <c r="A49" s="39"/>
      <c r="B49" s="24"/>
      <c r="C49" s="25" t="s">
        <v>250</v>
      </c>
      <c r="D49" s="32">
        <v>3102.0</v>
      </c>
      <c r="E49" s="40" t="s">
        <v>219</v>
      </c>
      <c r="F49" s="32">
        <v>540.0</v>
      </c>
      <c r="G49" s="32" t="s">
        <v>213</v>
      </c>
      <c r="H49" s="41">
        <v>8.809668465471E12</v>
      </c>
      <c r="I49" s="41">
        <v>1.8809668465478E13</v>
      </c>
      <c r="J49" s="32" t="s">
        <v>38</v>
      </c>
      <c r="K49" s="32">
        <v>40.0</v>
      </c>
      <c r="L49" s="44" t="s">
        <v>220</v>
      </c>
      <c r="M49" s="44" t="s">
        <v>221</v>
      </c>
      <c r="N49" s="44" t="s">
        <v>83</v>
      </c>
      <c r="O49" s="44" t="s">
        <v>84</v>
      </c>
      <c r="P49" s="32">
        <v>100.0</v>
      </c>
      <c r="Q49" s="42">
        <v>10.0</v>
      </c>
      <c r="R49" s="32" t="s">
        <v>43</v>
      </c>
      <c r="S49" s="32">
        <v>14.0</v>
      </c>
      <c r="T49" s="32">
        <v>7.5</v>
      </c>
      <c r="U49" s="32" t="s">
        <v>44</v>
      </c>
      <c r="V49" s="43"/>
      <c r="W49" s="2"/>
      <c r="X49" s="34" t="s">
        <v>251</v>
      </c>
      <c r="Y49" s="35" t="s">
        <v>252</v>
      </c>
      <c r="Z49" s="36">
        <v>29000.0</v>
      </c>
      <c r="AA49" s="37">
        <f t="shared" si="1"/>
        <v>23200</v>
      </c>
      <c r="AB49" s="2"/>
      <c r="AC49" s="2"/>
      <c r="AD49" s="2"/>
    </row>
    <row r="50" ht="43.5" customHeight="1">
      <c r="A50" s="39"/>
      <c r="B50" s="24"/>
      <c r="C50" s="25" t="s">
        <v>253</v>
      </c>
      <c r="D50" s="32"/>
      <c r="E50" s="40" t="s">
        <v>225</v>
      </c>
      <c r="F50" s="32">
        <v>547.0</v>
      </c>
      <c r="G50" s="32" t="s">
        <v>213</v>
      </c>
      <c r="H50" s="41">
        <v>8.809668465488E12</v>
      </c>
      <c r="I50" s="41">
        <v>1.8809668465485E13</v>
      </c>
      <c r="J50" s="32" t="s">
        <v>38</v>
      </c>
      <c r="K50" s="32">
        <v>48.0</v>
      </c>
      <c r="L50" s="44" t="s">
        <v>254</v>
      </c>
      <c r="M50" s="44" t="s">
        <v>227</v>
      </c>
      <c r="N50" s="44" t="s">
        <v>83</v>
      </c>
      <c r="O50" s="44" t="s">
        <v>84</v>
      </c>
      <c r="P50" s="32">
        <v>100.0</v>
      </c>
      <c r="Q50" s="42">
        <v>10.0</v>
      </c>
      <c r="R50" s="32" t="s">
        <v>43</v>
      </c>
      <c r="S50" s="32">
        <v>21.41</v>
      </c>
      <c r="T50" s="32">
        <v>9.75</v>
      </c>
      <c r="U50" s="32" t="s">
        <v>44</v>
      </c>
      <c r="V50" s="43"/>
      <c r="W50" s="2"/>
      <c r="X50" s="34" t="s">
        <v>255</v>
      </c>
      <c r="Y50" s="35" t="s">
        <v>256</v>
      </c>
      <c r="Z50" s="36">
        <v>29000.0</v>
      </c>
      <c r="AA50" s="37">
        <f t="shared" si="1"/>
        <v>23200</v>
      </c>
      <c r="AB50" s="2"/>
      <c r="AC50" s="2"/>
      <c r="AD50" s="2"/>
    </row>
    <row r="51" ht="43.5" customHeight="1">
      <c r="A51" s="39"/>
      <c r="B51" s="24"/>
      <c r="C51" s="25" t="s">
        <v>257</v>
      </c>
      <c r="D51" s="32">
        <v>3110.0</v>
      </c>
      <c r="E51" s="40" t="s">
        <v>231</v>
      </c>
      <c r="F51" s="32">
        <v>554.0</v>
      </c>
      <c r="G51" s="32" t="s">
        <v>213</v>
      </c>
      <c r="H51" s="41">
        <v>8.809668465495E12</v>
      </c>
      <c r="I51" s="41">
        <v>1.8809668465492E13</v>
      </c>
      <c r="J51" s="32" t="s">
        <v>38</v>
      </c>
      <c r="K51" s="32">
        <v>54.0</v>
      </c>
      <c r="L51" s="44" t="s">
        <v>232</v>
      </c>
      <c r="M51" s="44" t="s">
        <v>232</v>
      </c>
      <c r="N51" s="44" t="s">
        <v>83</v>
      </c>
      <c r="O51" s="44" t="s">
        <v>84</v>
      </c>
      <c r="P51" s="32">
        <v>100.0</v>
      </c>
      <c r="Q51" s="42">
        <v>10.0</v>
      </c>
      <c r="R51" s="32" t="s">
        <v>43</v>
      </c>
      <c r="S51" s="32">
        <v>7.0</v>
      </c>
      <c r="T51" s="32">
        <v>18.0</v>
      </c>
      <c r="U51" s="32" t="s">
        <v>44</v>
      </c>
      <c r="V51" s="43"/>
      <c r="W51" s="2"/>
      <c r="X51" s="34" t="s">
        <v>258</v>
      </c>
      <c r="Y51" s="35" t="s">
        <v>259</v>
      </c>
      <c r="Z51" s="36">
        <v>29000.0</v>
      </c>
      <c r="AA51" s="37">
        <f t="shared" si="1"/>
        <v>23200</v>
      </c>
      <c r="AB51" s="2"/>
      <c r="AC51" s="2"/>
      <c r="AD51" s="2"/>
    </row>
    <row r="52" ht="43.5" customHeight="1">
      <c r="A52" s="39"/>
      <c r="B52" s="24"/>
      <c r="C52" s="25" t="s">
        <v>260</v>
      </c>
      <c r="D52" s="32">
        <v>3101.0</v>
      </c>
      <c r="E52" s="40" t="s">
        <v>236</v>
      </c>
      <c r="F52" s="32">
        <v>562.0</v>
      </c>
      <c r="G52" s="32" t="s">
        <v>213</v>
      </c>
      <c r="H52" s="41">
        <v>8.809668465501E12</v>
      </c>
      <c r="I52" s="41">
        <v>1.8809668465508E13</v>
      </c>
      <c r="J52" s="32" t="s">
        <v>38</v>
      </c>
      <c r="K52" s="32">
        <v>60.0</v>
      </c>
      <c r="L52" s="44" t="s">
        <v>237</v>
      </c>
      <c r="M52" s="44" t="s">
        <v>238</v>
      </c>
      <c r="N52" s="44" t="s">
        <v>83</v>
      </c>
      <c r="O52" s="44" t="s">
        <v>84</v>
      </c>
      <c r="P52" s="32">
        <v>100.0</v>
      </c>
      <c r="Q52" s="42">
        <v>10.0</v>
      </c>
      <c r="R52" s="32" t="s">
        <v>43</v>
      </c>
      <c r="S52" s="32">
        <v>23.5</v>
      </c>
      <c r="T52" s="32">
        <v>6.0</v>
      </c>
      <c r="U52" s="32" t="s">
        <v>44</v>
      </c>
      <c r="V52" s="43"/>
      <c r="W52" s="2"/>
      <c r="X52" s="34" t="s">
        <v>261</v>
      </c>
      <c r="Y52" s="35" t="s">
        <v>262</v>
      </c>
      <c r="Z52" s="36">
        <v>29000.0</v>
      </c>
      <c r="AA52" s="37">
        <f t="shared" si="1"/>
        <v>23200</v>
      </c>
      <c r="AB52" s="2"/>
      <c r="AC52" s="2"/>
      <c r="AD52" s="2"/>
    </row>
    <row r="53" ht="43.5" customHeight="1">
      <c r="A53" s="70"/>
      <c r="B53" s="45"/>
      <c r="C53" s="46" t="s">
        <v>263</v>
      </c>
      <c r="D53" s="47">
        <v>3100.0</v>
      </c>
      <c r="E53" s="71" t="s">
        <v>242</v>
      </c>
      <c r="F53" s="47">
        <v>551.0</v>
      </c>
      <c r="G53" s="72" t="s">
        <v>213</v>
      </c>
      <c r="H53" s="50">
        <v>8.809668465518E12</v>
      </c>
      <c r="I53" s="50">
        <v>1.8809668465515E13</v>
      </c>
      <c r="J53" s="72" t="s">
        <v>38</v>
      </c>
      <c r="K53" s="72">
        <v>65.0</v>
      </c>
      <c r="L53" s="73" t="s">
        <v>243</v>
      </c>
      <c r="M53" s="73" t="s">
        <v>244</v>
      </c>
      <c r="N53" s="51" t="s">
        <v>83</v>
      </c>
      <c r="O53" s="51" t="s">
        <v>84</v>
      </c>
      <c r="P53" s="72">
        <v>100.0</v>
      </c>
      <c r="Q53" s="74">
        <v>10.0</v>
      </c>
      <c r="R53" s="72" t="s">
        <v>43</v>
      </c>
      <c r="S53" s="72">
        <v>12.19</v>
      </c>
      <c r="T53" s="72">
        <v>5.09</v>
      </c>
      <c r="U53" s="72" t="s">
        <v>44</v>
      </c>
      <c r="V53" s="75"/>
      <c r="W53" s="2"/>
      <c r="X53" s="34" t="s">
        <v>264</v>
      </c>
      <c r="Y53" s="35" t="s">
        <v>265</v>
      </c>
      <c r="Z53" s="36">
        <v>29000.0</v>
      </c>
      <c r="AA53" s="37">
        <f t="shared" si="1"/>
        <v>23200</v>
      </c>
      <c r="AB53" s="2"/>
      <c r="AC53" s="2"/>
      <c r="AD53" s="2"/>
    </row>
    <row r="54" ht="43.5" customHeight="1">
      <c r="A54" s="76" t="s">
        <v>266</v>
      </c>
      <c r="B54" s="24"/>
      <c r="C54" s="25" t="s">
        <v>267</v>
      </c>
      <c r="D54" s="32"/>
      <c r="E54" s="40" t="s">
        <v>268</v>
      </c>
      <c r="F54" s="32"/>
      <c r="G54" s="32" t="s">
        <v>269</v>
      </c>
      <c r="H54" s="29">
        <v>8.809668465525E12</v>
      </c>
      <c r="I54" s="29">
        <v>1.8809668465522E13</v>
      </c>
      <c r="J54" s="32" t="s">
        <v>38</v>
      </c>
      <c r="K54" s="32">
        <v>5.0</v>
      </c>
      <c r="L54" s="44" t="s">
        <v>270</v>
      </c>
      <c r="M54" s="44" t="s">
        <v>270</v>
      </c>
      <c r="N54" s="44" t="s">
        <v>41</v>
      </c>
      <c r="O54" s="44" t="s">
        <v>42</v>
      </c>
      <c r="P54" s="32">
        <v>20.0</v>
      </c>
      <c r="Q54" s="42">
        <v>25.0</v>
      </c>
      <c r="R54" s="32" t="s">
        <v>43</v>
      </c>
      <c r="S54" s="32">
        <v>23.5</v>
      </c>
      <c r="T54" s="32">
        <v>10.0</v>
      </c>
      <c r="U54" s="32" t="s">
        <v>44</v>
      </c>
      <c r="V54" s="43"/>
      <c r="W54" s="2"/>
      <c r="X54" s="34" t="s">
        <v>271</v>
      </c>
      <c r="Y54" s="35" t="s">
        <v>272</v>
      </c>
      <c r="Z54" s="36">
        <v>8000.0</v>
      </c>
      <c r="AA54" s="37">
        <f t="shared" si="1"/>
        <v>6400</v>
      </c>
      <c r="AB54" s="2"/>
      <c r="AC54" s="2"/>
      <c r="AD54" s="2"/>
    </row>
    <row r="55" ht="43.5" customHeight="1">
      <c r="A55" s="39"/>
      <c r="B55" s="24"/>
      <c r="C55" s="25" t="s">
        <v>273</v>
      </c>
      <c r="D55" s="32">
        <v>3627.0</v>
      </c>
      <c r="E55" s="66" t="s">
        <v>274</v>
      </c>
      <c r="F55" s="32">
        <v>642.0</v>
      </c>
      <c r="G55" s="32" t="s">
        <v>269</v>
      </c>
      <c r="H55" s="41">
        <v>8.809668465532E12</v>
      </c>
      <c r="I55" s="41">
        <v>1.8809668465539E13</v>
      </c>
      <c r="J55" s="32" t="s">
        <v>38</v>
      </c>
      <c r="K55" s="32">
        <v>8.0</v>
      </c>
      <c r="L55" s="44" t="s">
        <v>275</v>
      </c>
      <c r="M55" s="44" t="s">
        <v>275</v>
      </c>
      <c r="N55" s="44" t="s">
        <v>41</v>
      </c>
      <c r="O55" s="44" t="s">
        <v>42</v>
      </c>
      <c r="P55" s="32">
        <v>20.0</v>
      </c>
      <c r="Q55" s="42">
        <v>25.0</v>
      </c>
      <c r="R55" s="32" t="s">
        <v>43</v>
      </c>
      <c r="S55" s="32">
        <v>15.0</v>
      </c>
      <c r="T55" s="32">
        <v>9.0</v>
      </c>
      <c r="U55" s="32" t="s">
        <v>44</v>
      </c>
      <c r="V55" s="43"/>
      <c r="W55" s="2"/>
      <c r="X55" s="34" t="s">
        <v>276</v>
      </c>
      <c r="Y55" s="35" t="s">
        <v>277</v>
      </c>
      <c r="Z55" s="36">
        <v>8000.0</v>
      </c>
      <c r="AA55" s="37">
        <f t="shared" si="1"/>
        <v>6400</v>
      </c>
      <c r="AB55" s="2"/>
      <c r="AC55" s="2"/>
      <c r="AD55" s="2"/>
    </row>
    <row r="56" ht="43.5" customHeight="1">
      <c r="A56" s="39"/>
      <c r="B56" s="24"/>
      <c r="C56" s="25" t="s">
        <v>278</v>
      </c>
      <c r="D56" s="32">
        <v>3624.0</v>
      </c>
      <c r="E56" s="66" t="s">
        <v>279</v>
      </c>
      <c r="F56" s="32">
        <v>619.0</v>
      </c>
      <c r="G56" s="32" t="s">
        <v>269</v>
      </c>
      <c r="H56" s="41">
        <v>8.809668465549E12</v>
      </c>
      <c r="I56" s="41">
        <v>1.8809668465546E13</v>
      </c>
      <c r="J56" s="32" t="s">
        <v>38</v>
      </c>
      <c r="K56" s="32">
        <v>9.0</v>
      </c>
      <c r="L56" s="44" t="s">
        <v>280</v>
      </c>
      <c r="M56" s="44" t="s">
        <v>280</v>
      </c>
      <c r="N56" s="44" t="s">
        <v>41</v>
      </c>
      <c r="O56" s="57" t="s">
        <v>42</v>
      </c>
      <c r="P56" s="62">
        <v>20.0</v>
      </c>
      <c r="Q56" s="42">
        <v>25.0</v>
      </c>
      <c r="R56" s="32" t="s">
        <v>43</v>
      </c>
      <c r="S56" s="32">
        <v>22.5</v>
      </c>
      <c r="T56" s="32">
        <v>30.0</v>
      </c>
      <c r="U56" s="32" t="s">
        <v>44</v>
      </c>
      <c r="V56" s="43"/>
      <c r="W56" s="2"/>
      <c r="X56" s="34" t="s">
        <v>281</v>
      </c>
      <c r="Y56" s="35" t="s">
        <v>282</v>
      </c>
      <c r="Z56" s="36">
        <v>8000.0</v>
      </c>
      <c r="AA56" s="37">
        <f t="shared" si="1"/>
        <v>6400</v>
      </c>
      <c r="AB56" s="2"/>
      <c r="AC56" s="2"/>
      <c r="AD56" s="2"/>
    </row>
    <row r="57" ht="43.5" customHeight="1">
      <c r="A57" s="39"/>
      <c r="B57" s="24"/>
      <c r="C57" s="25" t="s">
        <v>283</v>
      </c>
      <c r="D57" s="32"/>
      <c r="E57" s="66" t="s">
        <v>284</v>
      </c>
      <c r="F57" s="32"/>
      <c r="G57" s="32" t="s">
        <v>269</v>
      </c>
      <c r="H57" s="41">
        <v>8.809668465556E12</v>
      </c>
      <c r="I57" s="41">
        <v>1.8809668465553E13</v>
      </c>
      <c r="J57" s="32" t="s">
        <v>38</v>
      </c>
      <c r="K57" s="32">
        <v>12.0</v>
      </c>
      <c r="L57" s="44" t="s">
        <v>285</v>
      </c>
      <c r="M57" s="44" t="s">
        <v>285</v>
      </c>
      <c r="N57" s="44" t="s">
        <v>41</v>
      </c>
      <c r="O57" s="57" t="s">
        <v>42</v>
      </c>
      <c r="P57" s="62">
        <v>20.0</v>
      </c>
      <c r="Q57" s="42">
        <v>25.0</v>
      </c>
      <c r="R57" s="32" t="s">
        <v>43</v>
      </c>
      <c r="S57" s="32">
        <v>15.748</v>
      </c>
      <c r="T57" s="32">
        <v>5.84</v>
      </c>
      <c r="U57" s="32" t="s">
        <v>44</v>
      </c>
      <c r="V57" s="43"/>
      <c r="W57" s="2"/>
      <c r="X57" s="34" t="s">
        <v>286</v>
      </c>
      <c r="Y57" s="35" t="s">
        <v>287</v>
      </c>
      <c r="Z57" s="36">
        <v>8000.0</v>
      </c>
      <c r="AA57" s="37">
        <f t="shared" si="1"/>
        <v>6400</v>
      </c>
      <c r="AB57" s="2"/>
      <c r="AC57" s="2"/>
      <c r="AD57" s="2"/>
    </row>
    <row r="58" ht="43.5" customHeight="1">
      <c r="A58" s="39"/>
      <c r="B58" s="77"/>
      <c r="C58" s="67" t="s">
        <v>288</v>
      </c>
      <c r="D58" s="68"/>
      <c r="E58" s="69" t="s">
        <v>289</v>
      </c>
      <c r="F58" s="68">
        <v>220.0</v>
      </c>
      <c r="G58" s="68" t="s">
        <v>269</v>
      </c>
      <c r="H58" s="41">
        <v>8.809668465563E12</v>
      </c>
      <c r="I58" s="41">
        <v>1.880966846556E13</v>
      </c>
      <c r="J58" s="68" t="s">
        <v>38</v>
      </c>
      <c r="K58" s="68">
        <v>20.0</v>
      </c>
      <c r="L58" s="78" t="s">
        <v>290</v>
      </c>
      <c r="M58" s="78" t="s">
        <v>290</v>
      </c>
      <c r="N58" s="78" t="s">
        <v>41</v>
      </c>
      <c r="O58" s="78" t="s">
        <v>42</v>
      </c>
      <c r="P58" s="62">
        <v>20.0</v>
      </c>
      <c r="Q58" s="79">
        <v>25.0</v>
      </c>
      <c r="R58" s="62" t="s">
        <v>43</v>
      </c>
      <c r="S58" s="56">
        <v>8.0</v>
      </c>
      <c r="T58" s="62">
        <v>18.5</v>
      </c>
      <c r="U58" s="56" t="s">
        <v>44</v>
      </c>
      <c r="V58" s="80"/>
      <c r="W58" s="2"/>
      <c r="X58" s="34" t="s">
        <v>291</v>
      </c>
      <c r="Y58" s="35" t="s">
        <v>292</v>
      </c>
      <c r="Z58" s="36">
        <v>8000.0</v>
      </c>
      <c r="AA58" s="37">
        <f t="shared" si="1"/>
        <v>6400</v>
      </c>
      <c r="AB58" s="2"/>
      <c r="AC58" s="2"/>
      <c r="AD58" s="2"/>
    </row>
    <row r="59" ht="43.5" customHeight="1">
      <c r="A59" s="39"/>
      <c r="B59" s="77"/>
      <c r="C59" s="67" t="s">
        <v>293</v>
      </c>
      <c r="D59" s="68"/>
      <c r="E59" s="69" t="s">
        <v>294</v>
      </c>
      <c r="F59" s="68"/>
      <c r="G59" s="68" t="s">
        <v>269</v>
      </c>
      <c r="H59" s="41">
        <v>8.80966846557E12</v>
      </c>
      <c r="I59" s="41">
        <v>1.8809668465577E13</v>
      </c>
      <c r="J59" s="68" t="s">
        <v>38</v>
      </c>
      <c r="K59" s="68">
        <v>24.0</v>
      </c>
      <c r="L59" s="78" t="s">
        <v>295</v>
      </c>
      <c r="M59" s="78" t="s">
        <v>295</v>
      </c>
      <c r="N59" s="78" t="s">
        <v>41</v>
      </c>
      <c r="O59" s="78" t="s">
        <v>42</v>
      </c>
      <c r="P59" s="62">
        <v>20.0</v>
      </c>
      <c r="Q59" s="79">
        <v>25.0</v>
      </c>
      <c r="R59" s="62" t="s">
        <v>43</v>
      </c>
      <c r="S59" s="56">
        <v>13.5</v>
      </c>
      <c r="T59" s="62">
        <v>16.0</v>
      </c>
      <c r="U59" s="56" t="s">
        <v>44</v>
      </c>
      <c r="V59" s="80"/>
      <c r="W59" s="2"/>
      <c r="X59" s="34" t="s">
        <v>296</v>
      </c>
      <c r="Y59" s="35" t="s">
        <v>297</v>
      </c>
      <c r="Z59" s="36">
        <v>8000.0</v>
      </c>
      <c r="AA59" s="37">
        <f t="shared" si="1"/>
        <v>6400</v>
      </c>
      <c r="AB59" s="2"/>
      <c r="AC59" s="2"/>
      <c r="AD59" s="2"/>
    </row>
    <row r="60" ht="43.5" customHeight="1">
      <c r="A60" s="39"/>
      <c r="B60" s="77"/>
      <c r="C60" s="67" t="s">
        <v>298</v>
      </c>
      <c r="D60" s="68"/>
      <c r="E60" s="69" t="s">
        <v>299</v>
      </c>
      <c r="F60" s="68">
        <v>231.0</v>
      </c>
      <c r="G60" s="68" t="s">
        <v>269</v>
      </c>
      <c r="H60" s="41">
        <v>8.809668465587E12</v>
      </c>
      <c r="I60" s="41">
        <v>1.8809668465584E13</v>
      </c>
      <c r="J60" s="68" t="s">
        <v>38</v>
      </c>
      <c r="K60" s="68">
        <v>33.0</v>
      </c>
      <c r="L60" s="78" t="s">
        <v>300</v>
      </c>
      <c r="M60" s="78" t="s">
        <v>300</v>
      </c>
      <c r="N60" s="78" t="s">
        <v>41</v>
      </c>
      <c r="O60" s="78" t="s">
        <v>42</v>
      </c>
      <c r="P60" s="62">
        <v>20.0</v>
      </c>
      <c r="Q60" s="79">
        <v>25.0</v>
      </c>
      <c r="R60" s="62" t="s">
        <v>43</v>
      </c>
      <c r="S60" s="56">
        <v>15.0</v>
      </c>
      <c r="T60" s="62">
        <v>8.5</v>
      </c>
      <c r="U60" s="56" t="s">
        <v>44</v>
      </c>
      <c r="V60" s="80"/>
      <c r="W60" s="2"/>
      <c r="X60" s="34" t="s">
        <v>301</v>
      </c>
      <c r="Y60" s="35" t="s">
        <v>302</v>
      </c>
      <c r="Z60" s="36">
        <v>8000.0</v>
      </c>
      <c r="AA60" s="37">
        <f t="shared" si="1"/>
        <v>6400</v>
      </c>
      <c r="AB60" s="2"/>
      <c r="AC60" s="2"/>
      <c r="AD60" s="2"/>
    </row>
    <row r="61" ht="43.5" customHeight="1">
      <c r="A61" s="39"/>
      <c r="B61" s="77"/>
      <c r="C61" s="67" t="s">
        <v>303</v>
      </c>
      <c r="D61" s="68">
        <v>3621.0</v>
      </c>
      <c r="E61" s="69" t="s">
        <v>304</v>
      </c>
      <c r="F61" s="68">
        <v>636.0</v>
      </c>
      <c r="G61" s="68" t="s">
        <v>269</v>
      </c>
      <c r="H61" s="41">
        <v>8.809668465594E12</v>
      </c>
      <c r="I61" s="41">
        <v>1.8809668465591E13</v>
      </c>
      <c r="J61" s="68" t="s">
        <v>38</v>
      </c>
      <c r="K61" s="68">
        <v>36.0</v>
      </c>
      <c r="L61" s="78" t="s">
        <v>305</v>
      </c>
      <c r="M61" s="78" t="s">
        <v>305</v>
      </c>
      <c r="N61" s="78" t="s">
        <v>41</v>
      </c>
      <c r="O61" s="78" t="s">
        <v>42</v>
      </c>
      <c r="P61" s="62">
        <v>20.0</v>
      </c>
      <c r="Q61" s="79">
        <v>25.0</v>
      </c>
      <c r="R61" s="62" t="s">
        <v>43</v>
      </c>
      <c r="S61" s="56">
        <v>22.5</v>
      </c>
      <c r="T61" s="62">
        <v>9.0</v>
      </c>
      <c r="U61" s="56" t="s">
        <v>44</v>
      </c>
      <c r="V61" s="80"/>
      <c r="W61" s="2"/>
      <c r="X61" s="34" t="s">
        <v>306</v>
      </c>
      <c r="Y61" s="35" t="s">
        <v>307</v>
      </c>
      <c r="Z61" s="36">
        <v>8000.0</v>
      </c>
      <c r="AA61" s="37">
        <f t="shared" si="1"/>
        <v>6400</v>
      </c>
      <c r="AB61" s="2"/>
      <c r="AC61" s="2"/>
      <c r="AD61" s="2"/>
    </row>
    <row r="62" ht="43.5" customHeight="1">
      <c r="A62" s="39"/>
      <c r="B62" s="77"/>
      <c r="C62" s="67" t="s">
        <v>308</v>
      </c>
      <c r="D62" s="68">
        <v>3154.0</v>
      </c>
      <c r="E62" s="69" t="s">
        <v>309</v>
      </c>
      <c r="F62" s="68">
        <v>254.0</v>
      </c>
      <c r="G62" s="68" t="s">
        <v>269</v>
      </c>
      <c r="H62" s="41">
        <v>8.8096684656E12</v>
      </c>
      <c r="I62" s="41">
        <v>1.8809668465607E13</v>
      </c>
      <c r="J62" s="68" t="s">
        <v>38</v>
      </c>
      <c r="K62" s="68">
        <v>54.0</v>
      </c>
      <c r="L62" s="78" t="s">
        <v>310</v>
      </c>
      <c r="M62" s="78" t="s">
        <v>310</v>
      </c>
      <c r="N62" s="78" t="s">
        <v>41</v>
      </c>
      <c r="O62" s="78" t="s">
        <v>42</v>
      </c>
      <c r="P62" s="62">
        <v>20.0</v>
      </c>
      <c r="Q62" s="79">
        <v>25.0</v>
      </c>
      <c r="R62" s="62" t="s">
        <v>43</v>
      </c>
      <c r="S62" s="56">
        <v>11.0</v>
      </c>
      <c r="T62" s="62">
        <v>8.4</v>
      </c>
      <c r="U62" s="56" t="s">
        <v>44</v>
      </c>
      <c r="V62" s="80"/>
      <c r="W62" s="2"/>
      <c r="X62" s="34" t="s">
        <v>311</v>
      </c>
      <c r="Y62" s="35" t="s">
        <v>312</v>
      </c>
      <c r="Z62" s="36">
        <v>8000.0</v>
      </c>
      <c r="AA62" s="37">
        <f t="shared" si="1"/>
        <v>6400</v>
      </c>
      <c r="AB62" s="2"/>
      <c r="AC62" s="2"/>
      <c r="AD62" s="2"/>
    </row>
    <row r="63" ht="43.5" customHeight="1">
      <c r="A63" s="39"/>
      <c r="B63" s="77"/>
      <c r="C63" s="67" t="s">
        <v>313</v>
      </c>
      <c r="D63" s="68">
        <v>3623.0</v>
      </c>
      <c r="E63" s="69" t="s">
        <v>314</v>
      </c>
      <c r="F63" s="68">
        <v>541.0</v>
      </c>
      <c r="G63" s="68" t="s">
        <v>269</v>
      </c>
      <c r="H63" s="41">
        <v>8.809668465617E12</v>
      </c>
      <c r="I63" s="41">
        <v>1.8809668465614E13</v>
      </c>
      <c r="J63" s="68" t="s">
        <v>38</v>
      </c>
      <c r="K63" s="68">
        <v>84.0</v>
      </c>
      <c r="L63" s="78" t="s">
        <v>315</v>
      </c>
      <c r="M63" s="78" t="s">
        <v>315</v>
      </c>
      <c r="N63" s="78" t="s">
        <v>41</v>
      </c>
      <c r="O63" s="78" t="s">
        <v>42</v>
      </c>
      <c r="P63" s="62">
        <v>20.0</v>
      </c>
      <c r="Q63" s="79">
        <v>25.0</v>
      </c>
      <c r="R63" s="62" t="s">
        <v>43</v>
      </c>
      <c r="S63" s="56">
        <v>16.0</v>
      </c>
      <c r="T63" s="62">
        <v>6.0</v>
      </c>
      <c r="U63" s="56" t="s">
        <v>44</v>
      </c>
      <c r="V63" s="80"/>
      <c r="W63" s="2"/>
      <c r="X63" s="34" t="s">
        <v>316</v>
      </c>
      <c r="Y63" s="35" t="s">
        <v>317</v>
      </c>
      <c r="Z63" s="36">
        <v>8000.0</v>
      </c>
      <c r="AA63" s="37">
        <f t="shared" si="1"/>
        <v>6400</v>
      </c>
      <c r="AB63" s="2"/>
      <c r="AC63" s="2"/>
      <c r="AD63" s="2"/>
    </row>
    <row r="64" ht="43.5" customHeight="1">
      <c r="A64" s="39"/>
      <c r="B64" s="77"/>
      <c r="C64" s="67" t="s">
        <v>318</v>
      </c>
      <c r="D64" s="68">
        <v>3622.0</v>
      </c>
      <c r="E64" s="69" t="s">
        <v>319</v>
      </c>
      <c r="F64" s="68">
        <v>556.0</v>
      </c>
      <c r="G64" s="68" t="s">
        <v>269</v>
      </c>
      <c r="H64" s="41">
        <v>8.809668465624E12</v>
      </c>
      <c r="I64" s="41">
        <v>1.8809668465621E13</v>
      </c>
      <c r="J64" s="68" t="s">
        <v>38</v>
      </c>
      <c r="K64" s="68">
        <v>96.0</v>
      </c>
      <c r="L64" s="78" t="s">
        <v>320</v>
      </c>
      <c r="M64" s="78" t="s">
        <v>320</v>
      </c>
      <c r="N64" s="78" t="s">
        <v>41</v>
      </c>
      <c r="O64" s="78" t="s">
        <v>42</v>
      </c>
      <c r="P64" s="62">
        <v>20.0</v>
      </c>
      <c r="Q64" s="79">
        <v>25.0</v>
      </c>
      <c r="R64" s="62" t="s">
        <v>43</v>
      </c>
      <c r="S64" s="56">
        <v>21.5</v>
      </c>
      <c r="T64" s="62">
        <v>10.0</v>
      </c>
      <c r="U64" s="56" t="s">
        <v>44</v>
      </c>
      <c r="V64" s="80"/>
      <c r="W64" s="2"/>
      <c r="X64" s="34" t="s">
        <v>321</v>
      </c>
      <c r="Y64" s="35" t="s">
        <v>322</v>
      </c>
      <c r="Z64" s="36">
        <v>8000.0</v>
      </c>
      <c r="AA64" s="37">
        <f t="shared" si="1"/>
        <v>6400</v>
      </c>
      <c r="AB64" s="2"/>
      <c r="AC64" s="2"/>
      <c r="AD64" s="2"/>
    </row>
    <row r="65" ht="43.5" customHeight="1">
      <c r="A65" s="39"/>
      <c r="B65" s="77"/>
      <c r="C65" s="67" t="s">
        <v>323</v>
      </c>
      <c r="D65" s="68"/>
      <c r="E65" s="69" t="s">
        <v>324</v>
      </c>
      <c r="F65" s="68"/>
      <c r="G65" s="68" t="s">
        <v>269</v>
      </c>
      <c r="H65" s="41">
        <v>8.809668465631E12</v>
      </c>
      <c r="I65" s="41">
        <v>1.8809668465638E13</v>
      </c>
      <c r="J65" s="68" t="s">
        <v>38</v>
      </c>
      <c r="K65" s="68">
        <v>120.0</v>
      </c>
      <c r="L65" s="78" t="s">
        <v>325</v>
      </c>
      <c r="M65" s="78" t="s">
        <v>325</v>
      </c>
      <c r="N65" s="78" t="s">
        <v>41</v>
      </c>
      <c r="O65" s="78" t="s">
        <v>42</v>
      </c>
      <c r="P65" s="62">
        <v>20.0</v>
      </c>
      <c r="Q65" s="79">
        <v>25.0</v>
      </c>
      <c r="R65" s="62" t="s">
        <v>43</v>
      </c>
      <c r="S65" s="81">
        <v>17.49</v>
      </c>
      <c r="T65" s="82">
        <v>19.99</v>
      </c>
      <c r="U65" s="83" t="s">
        <v>44</v>
      </c>
      <c r="V65" s="80"/>
      <c r="W65" s="2"/>
      <c r="X65" s="34" t="s">
        <v>326</v>
      </c>
      <c r="Y65" s="35" t="s">
        <v>327</v>
      </c>
      <c r="Z65" s="36">
        <v>8000.0</v>
      </c>
      <c r="AA65" s="37">
        <f t="shared" si="1"/>
        <v>6400</v>
      </c>
      <c r="AB65" s="2"/>
      <c r="AC65" s="2"/>
      <c r="AD65" s="2"/>
    </row>
    <row r="66" ht="43.5" customHeight="1">
      <c r="A66" s="39"/>
      <c r="B66" s="24"/>
      <c r="C66" s="25" t="s">
        <v>328</v>
      </c>
      <c r="D66" s="62">
        <v>3145.0</v>
      </c>
      <c r="E66" s="66" t="s">
        <v>329</v>
      </c>
      <c r="F66" s="62"/>
      <c r="G66" s="62" t="s">
        <v>269</v>
      </c>
      <c r="H66" s="41">
        <v>8.809668465648E12</v>
      </c>
      <c r="I66" s="41">
        <v>1.8809668465645E13</v>
      </c>
      <c r="J66" s="62" t="s">
        <v>38</v>
      </c>
      <c r="K66" s="62">
        <v>145.0</v>
      </c>
      <c r="L66" s="44" t="s">
        <v>330</v>
      </c>
      <c r="M66" s="44" t="s">
        <v>330</v>
      </c>
      <c r="N66" s="57" t="s">
        <v>41</v>
      </c>
      <c r="O66" s="57" t="s">
        <v>42</v>
      </c>
      <c r="P66" s="62">
        <v>20.0</v>
      </c>
      <c r="Q66" s="42">
        <v>25.0</v>
      </c>
      <c r="R66" s="62" t="s">
        <v>43</v>
      </c>
      <c r="S66" s="32">
        <v>18.0</v>
      </c>
      <c r="T66" s="62">
        <v>20.0</v>
      </c>
      <c r="U66" s="32" t="s">
        <v>44</v>
      </c>
      <c r="V66" s="80"/>
      <c r="W66" s="2"/>
      <c r="X66" s="34" t="s">
        <v>331</v>
      </c>
      <c r="Y66" s="35" t="s">
        <v>332</v>
      </c>
      <c r="Z66" s="36">
        <v>8000.0</v>
      </c>
      <c r="AA66" s="37">
        <f t="shared" si="1"/>
        <v>6400</v>
      </c>
      <c r="AB66" s="2"/>
      <c r="AC66" s="2"/>
      <c r="AD66" s="2"/>
    </row>
    <row r="67" ht="43.5" customHeight="1">
      <c r="A67" s="39"/>
      <c r="B67" s="45"/>
      <c r="C67" s="46" t="s">
        <v>333</v>
      </c>
      <c r="D67" s="65">
        <v>3216.0</v>
      </c>
      <c r="E67" s="84" t="s">
        <v>334</v>
      </c>
      <c r="F67" s="65"/>
      <c r="G67" s="65" t="s">
        <v>269</v>
      </c>
      <c r="H67" s="50">
        <v>8.809668465655E12</v>
      </c>
      <c r="I67" s="50">
        <v>1.8809668465652E13</v>
      </c>
      <c r="J67" s="47" t="s">
        <v>38</v>
      </c>
      <c r="K67" s="47">
        <v>216.0</v>
      </c>
      <c r="L67" s="51" t="s">
        <v>335</v>
      </c>
      <c r="M67" s="51" t="s">
        <v>335</v>
      </c>
      <c r="N67" s="85" t="s">
        <v>41</v>
      </c>
      <c r="O67" s="85" t="s">
        <v>42</v>
      </c>
      <c r="P67" s="65">
        <v>20.0</v>
      </c>
      <c r="Q67" s="52">
        <v>25.0</v>
      </c>
      <c r="R67" s="65" t="s">
        <v>43</v>
      </c>
      <c r="S67" s="47">
        <v>13.0</v>
      </c>
      <c r="T67" s="65">
        <v>14.5</v>
      </c>
      <c r="U67" s="47" t="s">
        <v>44</v>
      </c>
      <c r="V67" s="86"/>
      <c r="W67" s="2"/>
      <c r="X67" s="34" t="s">
        <v>336</v>
      </c>
      <c r="Y67" s="35" t="s">
        <v>337</v>
      </c>
      <c r="Z67" s="36">
        <v>8000.0</v>
      </c>
      <c r="AA67" s="37">
        <f t="shared" si="1"/>
        <v>6400</v>
      </c>
      <c r="AB67" s="2"/>
      <c r="AC67" s="2"/>
      <c r="AD67" s="2"/>
    </row>
    <row r="68" ht="43.5" customHeight="1">
      <c r="A68" s="39"/>
      <c r="B68" s="24"/>
      <c r="C68" s="25" t="s">
        <v>338</v>
      </c>
      <c r="D68" s="32"/>
      <c r="E68" s="66" t="s">
        <v>268</v>
      </c>
      <c r="F68" s="32"/>
      <c r="G68" s="66" t="s">
        <v>269</v>
      </c>
      <c r="H68" s="28">
        <v>8.809668465662E12</v>
      </c>
      <c r="I68" s="29">
        <v>1.8809668465669E13</v>
      </c>
      <c r="J68" s="32" t="s">
        <v>38</v>
      </c>
      <c r="K68" s="40">
        <v>5.0</v>
      </c>
      <c r="L68" s="87" t="s">
        <v>270</v>
      </c>
      <c r="M68" s="87" t="s">
        <v>270</v>
      </c>
      <c r="N68" s="57" t="s">
        <v>83</v>
      </c>
      <c r="O68" s="57" t="s">
        <v>84</v>
      </c>
      <c r="P68" s="66">
        <v>100.0</v>
      </c>
      <c r="Q68" s="42">
        <v>10.0</v>
      </c>
      <c r="R68" s="62" t="s">
        <v>43</v>
      </c>
      <c r="S68" s="32">
        <v>23.5</v>
      </c>
      <c r="T68" s="62">
        <v>10.0</v>
      </c>
      <c r="U68" s="32" t="s">
        <v>44</v>
      </c>
      <c r="V68" s="43"/>
      <c r="W68" s="2"/>
      <c r="X68" s="34" t="s">
        <v>339</v>
      </c>
      <c r="Y68" s="35" t="s">
        <v>340</v>
      </c>
      <c r="Z68" s="36">
        <v>29000.0</v>
      </c>
      <c r="AA68" s="37">
        <f t="shared" si="1"/>
        <v>23200</v>
      </c>
      <c r="AB68" s="2"/>
      <c r="AC68" s="2"/>
      <c r="AD68" s="2"/>
    </row>
    <row r="69" ht="43.5" customHeight="1">
      <c r="A69" s="39"/>
      <c r="B69" s="24"/>
      <c r="C69" s="25" t="s">
        <v>341</v>
      </c>
      <c r="D69" s="32">
        <v>3627.0</v>
      </c>
      <c r="E69" s="66" t="s">
        <v>274</v>
      </c>
      <c r="F69" s="32">
        <v>642.0</v>
      </c>
      <c r="G69" s="66" t="s">
        <v>269</v>
      </c>
      <c r="H69" s="28">
        <v>8.809668465679E12</v>
      </c>
      <c r="I69" s="41">
        <v>1.8809668465676E13</v>
      </c>
      <c r="J69" s="62" t="s">
        <v>38</v>
      </c>
      <c r="K69" s="40">
        <v>8.0</v>
      </c>
      <c r="L69" s="87" t="s">
        <v>275</v>
      </c>
      <c r="M69" s="87" t="s">
        <v>275</v>
      </c>
      <c r="N69" s="44" t="s">
        <v>83</v>
      </c>
      <c r="O69" s="57" t="s">
        <v>84</v>
      </c>
      <c r="P69" s="66">
        <v>100.0</v>
      </c>
      <c r="Q69" s="42">
        <v>10.0</v>
      </c>
      <c r="R69" s="32" t="s">
        <v>43</v>
      </c>
      <c r="S69" s="32">
        <v>15.0</v>
      </c>
      <c r="T69" s="32">
        <v>9.0</v>
      </c>
      <c r="U69" s="32" t="s">
        <v>44</v>
      </c>
      <c r="V69" s="43"/>
      <c r="W69" s="2"/>
      <c r="X69" s="34" t="s">
        <v>342</v>
      </c>
      <c r="Y69" s="35" t="s">
        <v>343</v>
      </c>
      <c r="Z69" s="36">
        <v>29000.0</v>
      </c>
      <c r="AA69" s="37">
        <f t="shared" si="1"/>
        <v>23200</v>
      </c>
      <c r="AB69" s="2"/>
      <c r="AC69" s="2"/>
      <c r="AD69" s="2"/>
    </row>
    <row r="70" ht="43.5" customHeight="1">
      <c r="A70" s="39"/>
      <c r="B70" s="24"/>
      <c r="C70" s="25" t="s">
        <v>344</v>
      </c>
      <c r="D70" s="32">
        <v>3624.0</v>
      </c>
      <c r="E70" s="66" t="s">
        <v>279</v>
      </c>
      <c r="F70" s="32">
        <v>619.0</v>
      </c>
      <c r="G70" s="66" t="s">
        <v>269</v>
      </c>
      <c r="H70" s="28">
        <v>8.809668465686E12</v>
      </c>
      <c r="I70" s="41">
        <v>1.8809668465683E13</v>
      </c>
      <c r="J70" s="62" t="s">
        <v>38</v>
      </c>
      <c r="K70" s="40">
        <v>9.0</v>
      </c>
      <c r="L70" s="87" t="s">
        <v>280</v>
      </c>
      <c r="M70" s="87" t="s">
        <v>280</v>
      </c>
      <c r="N70" s="44" t="s">
        <v>83</v>
      </c>
      <c r="O70" s="57" t="s">
        <v>84</v>
      </c>
      <c r="P70" s="66">
        <v>100.0</v>
      </c>
      <c r="Q70" s="87">
        <v>10.0</v>
      </c>
      <c r="R70" s="32" t="s">
        <v>43</v>
      </c>
      <c r="S70" s="62">
        <v>22.5</v>
      </c>
      <c r="T70" s="32">
        <v>30.0</v>
      </c>
      <c r="U70" s="32" t="s">
        <v>44</v>
      </c>
      <c r="V70" s="43"/>
      <c r="W70" s="2"/>
      <c r="X70" s="34" t="s">
        <v>345</v>
      </c>
      <c r="Y70" s="35" t="s">
        <v>346</v>
      </c>
      <c r="Z70" s="36">
        <v>29000.0</v>
      </c>
      <c r="AA70" s="37">
        <f t="shared" si="1"/>
        <v>23200</v>
      </c>
      <c r="AB70" s="2"/>
      <c r="AC70" s="2"/>
      <c r="AD70" s="2"/>
    </row>
    <row r="71" ht="43.5" customHeight="1">
      <c r="A71" s="39"/>
      <c r="B71" s="24"/>
      <c r="C71" s="25" t="s">
        <v>347</v>
      </c>
      <c r="D71" s="32"/>
      <c r="E71" s="66" t="s">
        <v>284</v>
      </c>
      <c r="F71" s="32"/>
      <c r="G71" s="62" t="s">
        <v>269</v>
      </c>
      <c r="H71" s="28">
        <v>8.809668465693E12</v>
      </c>
      <c r="I71" s="41">
        <v>1.880966846569E13</v>
      </c>
      <c r="J71" s="62" t="s">
        <v>38</v>
      </c>
      <c r="K71" s="32">
        <v>12.0</v>
      </c>
      <c r="L71" s="57" t="s">
        <v>285</v>
      </c>
      <c r="M71" s="57" t="s">
        <v>285</v>
      </c>
      <c r="N71" s="44" t="s">
        <v>83</v>
      </c>
      <c r="O71" s="57" t="s">
        <v>84</v>
      </c>
      <c r="P71" s="62">
        <v>100.0</v>
      </c>
      <c r="Q71" s="87">
        <v>10.0</v>
      </c>
      <c r="R71" s="32" t="s">
        <v>43</v>
      </c>
      <c r="S71" s="62">
        <v>15.748</v>
      </c>
      <c r="T71" s="32">
        <v>5.84</v>
      </c>
      <c r="U71" s="62" t="s">
        <v>44</v>
      </c>
      <c r="V71" s="43"/>
      <c r="W71" s="2"/>
      <c r="X71" s="34" t="s">
        <v>348</v>
      </c>
      <c r="Y71" s="35" t="s">
        <v>349</v>
      </c>
      <c r="Z71" s="36">
        <v>29000.0</v>
      </c>
      <c r="AA71" s="37">
        <f t="shared" si="1"/>
        <v>23200</v>
      </c>
      <c r="AB71" s="2"/>
      <c r="AC71" s="2"/>
      <c r="AD71" s="2"/>
    </row>
    <row r="72" ht="43.5" customHeight="1">
      <c r="A72" s="39"/>
      <c r="B72" s="24"/>
      <c r="C72" s="25" t="s">
        <v>350</v>
      </c>
      <c r="D72" s="68"/>
      <c r="E72" s="69" t="s">
        <v>289</v>
      </c>
      <c r="F72" s="68">
        <v>220.0</v>
      </c>
      <c r="G72" s="68" t="s">
        <v>269</v>
      </c>
      <c r="H72" s="88">
        <v>8.809668465709E12</v>
      </c>
      <c r="I72" s="41">
        <v>1.8809668465706E13</v>
      </c>
      <c r="J72" s="62" t="s">
        <v>38</v>
      </c>
      <c r="K72" s="56">
        <v>20.0</v>
      </c>
      <c r="L72" s="57" t="s">
        <v>290</v>
      </c>
      <c r="M72" s="57" t="s">
        <v>290</v>
      </c>
      <c r="N72" s="89" t="s">
        <v>83</v>
      </c>
      <c r="O72" s="57" t="s">
        <v>84</v>
      </c>
      <c r="P72" s="56">
        <v>100.0</v>
      </c>
      <c r="Q72" s="87">
        <v>10.0</v>
      </c>
      <c r="R72" s="56" t="s">
        <v>43</v>
      </c>
      <c r="S72" s="62">
        <v>8.0</v>
      </c>
      <c r="T72" s="56">
        <v>18.5</v>
      </c>
      <c r="U72" s="62" t="s">
        <v>44</v>
      </c>
      <c r="V72" s="43"/>
      <c r="W72" s="2"/>
      <c r="X72" s="34" t="s">
        <v>351</v>
      </c>
      <c r="Y72" s="35" t="s">
        <v>352</v>
      </c>
      <c r="Z72" s="36">
        <v>29000.0</v>
      </c>
      <c r="AA72" s="37">
        <f t="shared" si="1"/>
        <v>23200</v>
      </c>
      <c r="AB72" s="2"/>
      <c r="AC72" s="2"/>
      <c r="AD72" s="2"/>
    </row>
    <row r="73" ht="43.5" customHeight="1">
      <c r="A73" s="39"/>
      <c r="B73" s="24"/>
      <c r="C73" s="25" t="s">
        <v>353</v>
      </c>
      <c r="D73" s="68"/>
      <c r="E73" s="66" t="s">
        <v>294</v>
      </c>
      <c r="F73" s="68"/>
      <c r="G73" s="62" t="s">
        <v>269</v>
      </c>
      <c r="H73" s="28">
        <v>8.809668465716E12</v>
      </c>
      <c r="I73" s="41">
        <v>1.8809668465713E13</v>
      </c>
      <c r="J73" s="62" t="s">
        <v>38</v>
      </c>
      <c r="K73" s="32">
        <v>24.0</v>
      </c>
      <c r="L73" s="57" t="s">
        <v>295</v>
      </c>
      <c r="M73" s="57" t="s">
        <v>295</v>
      </c>
      <c r="N73" s="44" t="s">
        <v>41</v>
      </c>
      <c r="O73" s="57" t="s">
        <v>84</v>
      </c>
      <c r="P73" s="32">
        <v>100.0</v>
      </c>
      <c r="Q73" s="87">
        <v>10.0</v>
      </c>
      <c r="R73" s="32" t="s">
        <v>43</v>
      </c>
      <c r="S73" s="62">
        <v>13.5</v>
      </c>
      <c r="T73" s="32">
        <v>16.0</v>
      </c>
      <c r="U73" s="62" t="s">
        <v>44</v>
      </c>
      <c r="V73" s="43"/>
      <c r="W73" s="2"/>
      <c r="X73" s="34" t="s">
        <v>354</v>
      </c>
      <c r="Y73" s="35" t="s">
        <v>355</v>
      </c>
      <c r="Z73" s="36">
        <v>29000.0</v>
      </c>
      <c r="AA73" s="37">
        <f t="shared" si="1"/>
        <v>23200</v>
      </c>
      <c r="AB73" s="2"/>
      <c r="AC73" s="2"/>
      <c r="AD73" s="2"/>
    </row>
    <row r="74" ht="43.5" customHeight="1">
      <c r="A74" s="39"/>
      <c r="B74" s="24"/>
      <c r="C74" s="25" t="s">
        <v>356</v>
      </c>
      <c r="D74" s="68"/>
      <c r="E74" s="66" t="s">
        <v>299</v>
      </c>
      <c r="F74" s="68">
        <v>231.0</v>
      </c>
      <c r="G74" s="62" t="s">
        <v>269</v>
      </c>
      <c r="H74" s="28">
        <v>8.809668465723E12</v>
      </c>
      <c r="I74" s="41">
        <v>1.880966846572E13</v>
      </c>
      <c r="J74" s="32" t="s">
        <v>38</v>
      </c>
      <c r="K74" s="32">
        <v>33.0</v>
      </c>
      <c r="L74" s="57" t="s">
        <v>300</v>
      </c>
      <c r="M74" s="57" t="s">
        <v>300</v>
      </c>
      <c r="N74" s="44" t="s">
        <v>83</v>
      </c>
      <c r="O74" s="57" t="s">
        <v>357</v>
      </c>
      <c r="P74" s="32">
        <v>100.0</v>
      </c>
      <c r="Q74" s="87">
        <v>10.0</v>
      </c>
      <c r="R74" s="32" t="s">
        <v>43</v>
      </c>
      <c r="S74" s="82">
        <v>15.0</v>
      </c>
      <c r="T74" s="81">
        <v>8.5</v>
      </c>
      <c r="U74" s="62" t="s">
        <v>44</v>
      </c>
      <c r="V74" s="43"/>
      <c r="W74" s="2"/>
      <c r="X74" s="34" t="s">
        <v>358</v>
      </c>
      <c r="Y74" s="35" t="s">
        <v>359</v>
      </c>
      <c r="Z74" s="36">
        <v>29000.0</v>
      </c>
      <c r="AA74" s="37">
        <f t="shared" si="1"/>
        <v>23200</v>
      </c>
      <c r="AB74" s="2"/>
      <c r="AC74" s="2"/>
      <c r="AD74" s="2"/>
    </row>
    <row r="75" ht="43.5" customHeight="1">
      <c r="A75" s="39"/>
      <c r="B75" s="24"/>
      <c r="C75" s="25" t="s">
        <v>360</v>
      </c>
      <c r="D75" s="68">
        <v>3621.0</v>
      </c>
      <c r="E75" s="66" t="s">
        <v>304</v>
      </c>
      <c r="F75" s="68">
        <v>636.0</v>
      </c>
      <c r="G75" s="62" t="s">
        <v>269</v>
      </c>
      <c r="H75" s="28">
        <v>8.80966846573E12</v>
      </c>
      <c r="I75" s="41">
        <v>1.8809668465773E13</v>
      </c>
      <c r="J75" s="32" t="s">
        <v>38</v>
      </c>
      <c r="K75" s="32">
        <v>36.0</v>
      </c>
      <c r="L75" s="57" t="s">
        <v>305</v>
      </c>
      <c r="M75" s="57" t="s">
        <v>305</v>
      </c>
      <c r="N75" s="44" t="s">
        <v>83</v>
      </c>
      <c r="O75" s="44" t="s">
        <v>84</v>
      </c>
      <c r="P75" s="32">
        <v>100.0</v>
      </c>
      <c r="Q75" s="42">
        <v>10.0</v>
      </c>
      <c r="R75" s="32" t="s">
        <v>43</v>
      </c>
      <c r="S75" s="32">
        <v>22.5</v>
      </c>
      <c r="T75" s="32">
        <v>9.0</v>
      </c>
      <c r="U75" s="32" t="s">
        <v>44</v>
      </c>
      <c r="V75" s="43"/>
      <c r="W75" s="2"/>
      <c r="X75" s="34" t="s">
        <v>361</v>
      </c>
      <c r="Y75" s="35" t="s">
        <v>362</v>
      </c>
      <c r="Z75" s="36">
        <v>29000.0</v>
      </c>
      <c r="AA75" s="37">
        <f t="shared" si="1"/>
        <v>23200</v>
      </c>
      <c r="AB75" s="2"/>
      <c r="AC75" s="2"/>
      <c r="AD75" s="2"/>
    </row>
    <row r="76" ht="43.5" customHeight="1">
      <c r="A76" s="39"/>
      <c r="B76" s="24"/>
      <c r="C76" s="25" t="s">
        <v>363</v>
      </c>
      <c r="D76" s="68">
        <v>3154.0</v>
      </c>
      <c r="E76" s="66" t="s">
        <v>309</v>
      </c>
      <c r="F76" s="68">
        <v>254.0</v>
      </c>
      <c r="G76" s="62" t="s">
        <v>269</v>
      </c>
      <c r="H76" s="28">
        <v>8.809668465747E12</v>
      </c>
      <c r="I76" s="41">
        <v>1.8809668465744E13</v>
      </c>
      <c r="J76" s="32" t="s">
        <v>38</v>
      </c>
      <c r="K76" s="32">
        <v>54.0</v>
      </c>
      <c r="L76" s="57" t="s">
        <v>310</v>
      </c>
      <c r="M76" s="57" t="s">
        <v>310</v>
      </c>
      <c r="N76" s="44" t="s">
        <v>83</v>
      </c>
      <c r="O76" s="44" t="s">
        <v>84</v>
      </c>
      <c r="P76" s="32">
        <v>100.0</v>
      </c>
      <c r="Q76" s="42">
        <v>10.0</v>
      </c>
      <c r="R76" s="32" t="s">
        <v>43</v>
      </c>
      <c r="S76" s="32">
        <v>11.0</v>
      </c>
      <c r="T76" s="32">
        <v>8.4</v>
      </c>
      <c r="U76" s="32" t="s">
        <v>44</v>
      </c>
      <c r="V76" s="43"/>
      <c r="W76" s="2"/>
      <c r="X76" s="34" t="s">
        <v>364</v>
      </c>
      <c r="Y76" s="35" t="s">
        <v>365</v>
      </c>
      <c r="Z76" s="36">
        <v>29000.0</v>
      </c>
      <c r="AA76" s="37">
        <f t="shared" si="1"/>
        <v>23200</v>
      </c>
      <c r="AB76" s="2"/>
      <c r="AC76" s="2"/>
      <c r="AD76" s="2"/>
    </row>
    <row r="77" ht="43.5" customHeight="1">
      <c r="A77" s="39"/>
      <c r="B77" s="24"/>
      <c r="C77" s="25" t="s">
        <v>366</v>
      </c>
      <c r="D77" s="68">
        <v>3623.0</v>
      </c>
      <c r="E77" s="66" t="s">
        <v>314</v>
      </c>
      <c r="F77" s="68">
        <v>541.0</v>
      </c>
      <c r="G77" s="66" t="s">
        <v>269</v>
      </c>
      <c r="H77" s="28">
        <v>8.809668465754E12</v>
      </c>
      <c r="I77" s="41">
        <v>1.8809668465751E13</v>
      </c>
      <c r="J77" s="32" t="s">
        <v>38</v>
      </c>
      <c r="K77" s="40">
        <v>84.0</v>
      </c>
      <c r="L77" s="87" t="s">
        <v>315</v>
      </c>
      <c r="M77" s="87" t="s">
        <v>315</v>
      </c>
      <c r="N77" s="44" t="s">
        <v>83</v>
      </c>
      <c r="O77" s="44" t="s">
        <v>84</v>
      </c>
      <c r="P77" s="40">
        <v>100.0</v>
      </c>
      <c r="Q77" s="42">
        <v>10.0</v>
      </c>
      <c r="R77" s="32" t="s">
        <v>43</v>
      </c>
      <c r="S77" s="32">
        <v>16.0</v>
      </c>
      <c r="T77" s="32">
        <v>6.0</v>
      </c>
      <c r="U77" s="32" t="s">
        <v>44</v>
      </c>
      <c r="V77" s="43"/>
      <c r="W77" s="2"/>
      <c r="X77" s="34" t="s">
        <v>367</v>
      </c>
      <c r="Y77" s="35" t="s">
        <v>368</v>
      </c>
      <c r="Z77" s="36">
        <v>29000.0</v>
      </c>
      <c r="AA77" s="37">
        <f t="shared" si="1"/>
        <v>23200</v>
      </c>
      <c r="AB77" s="2"/>
      <c r="AC77" s="2"/>
      <c r="AD77" s="2"/>
    </row>
    <row r="78" ht="43.5" customHeight="1">
      <c r="A78" s="39"/>
      <c r="B78" s="24"/>
      <c r="C78" s="25" t="s">
        <v>369</v>
      </c>
      <c r="D78" s="68">
        <v>3622.0</v>
      </c>
      <c r="E78" s="66" t="s">
        <v>319</v>
      </c>
      <c r="F78" s="68">
        <v>556.0</v>
      </c>
      <c r="G78" s="66" t="s">
        <v>269</v>
      </c>
      <c r="H78" s="28">
        <v>8.809668465761E12</v>
      </c>
      <c r="I78" s="41">
        <v>1.8809668465768E13</v>
      </c>
      <c r="J78" s="32" t="s">
        <v>38</v>
      </c>
      <c r="K78" s="40">
        <v>96.0</v>
      </c>
      <c r="L78" s="42" t="s">
        <v>320</v>
      </c>
      <c r="M78" s="42" t="s">
        <v>320</v>
      </c>
      <c r="N78" s="44" t="s">
        <v>83</v>
      </c>
      <c r="O78" s="44" t="s">
        <v>84</v>
      </c>
      <c r="P78" s="40">
        <v>100.0</v>
      </c>
      <c r="Q78" s="42">
        <v>10.0</v>
      </c>
      <c r="R78" s="32" t="s">
        <v>43</v>
      </c>
      <c r="S78" s="32">
        <v>21.5</v>
      </c>
      <c r="T78" s="32">
        <v>10.0</v>
      </c>
      <c r="U78" s="32" t="s">
        <v>44</v>
      </c>
      <c r="V78" s="43"/>
      <c r="W78" s="2"/>
      <c r="X78" s="34" t="s">
        <v>370</v>
      </c>
      <c r="Y78" s="35" t="s">
        <v>371</v>
      </c>
      <c r="Z78" s="36">
        <v>29000.0</v>
      </c>
      <c r="AA78" s="37">
        <f t="shared" si="1"/>
        <v>23200</v>
      </c>
      <c r="AB78" s="2"/>
      <c r="AC78" s="2"/>
      <c r="AD78" s="2"/>
    </row>
    <row r="79" ht="43.5" customHeight="1">
      <c r="A79" s="39"/>
      <c r="B79" s="24"/>
      <c r="C79" s="25" t="s">
        <v>372</v>
      </c>
      <c r="D79" s="68"/>
      <c r="E79" s="66" t="s">
        <v>324</v>
      </c>
      <c r="F79" s="68"/>
      <c r="G79" s="66" t="s">
        <v>269</v>
      </c>
      <c r="H79" s="28">
        <v>8.809668465778E12</v>
      </c>
      <c r="I79" s="41">
        <v>1.8809668465775E13</v>
      </c>
      <c r="J79" s="32" t="s">
        <v>38</v>
      </c>
      <c r="K79" s="40">
        <v>120.0</v>
      </c>
      <c r="L79" s="42" t="s">
        <v>325</v>
      </c>
      <c r="M79" s="42" t="s">
        <v>325</v>
      </c>
      <c r="N79" s="44" t="s">
        <v>83</v>
      </c>
      <c r="O79" s="44" t="s">
        <v>84</v>
      </c>
      <c r="P79" s="40">
        <v>100.0</v>
      </c>
      <c r="Q79" s="42">
        <v>10.0</v>
      </c>
      <c r="R79" s="32" t="s">
        <v>43</v>
      </c>
      <c r="S79" s="32">
        <v>17.49</v>
      </c>
      <c r="T79" s="32">
        <v>19.99</v>
      </c>
      <c r="U79" s="32" t="s">
        <v>44</v>
      </c>
      <c r="V79" s="43"/>
      <c r="W79" s="2"/>
      <c r="X79" s="34" t="s">
        <v>373</v>
      </c>
      <c r="Y79" s="35" t="s">
        <v>374</v>
      </c>
      <c r="Z79" s="36">
        <v>29000.0</v>
      </c>
      <c r="AA79" s="37">
        <f t="shared" si="1"/>
        <v>23200</v>
      </c>
      <c r="AB79" s="2"/>
      <c r="AC79" s="2"/>
      <c r="AD79" s="2"/>
    </row>
    <row r="80" ht="43.5" customHeight="1">
      <c r="A80" s="39"/>
      <c r="B80" s="24"/>
      <c r="C80" s="25" t="s">
        <v>375</v>
      </c>
      <c r="D80" s="62">
        <v>3145.0</v>
      </c>
      <c r="E80" s="66" t="s">
        <v>329</v>
      </c>
      <c r="F80" s="62"/>
      <c r="G80" s="32" t="s">
        <v>269</v>
      </c>
      <c r="H80" s="28">
        <v>8.809668465785E12</v>
      </c>
      <c r="I80" s="41">
        <v>1.8809668465782E13</v>
      </c>
      <c r="J80" s="32" t="s">
        <v>38</v>
      </c>
      <c r="K80" s="32">
        <v>145.0</v>
      </c>
      <c r="L80" s="44" t="s">
        <v>330</v>
      </c>
      <c r="M80" s="44" t="s">
        <v>330</v>
      </c>
      <c r="N80" s="44" t="s">
        <v>83</v>
      </c>
      <c r="O80" s="44" t="s">
        <v>84</v>
      </c>
      <c r="P80" s="32">
        <v>100.0</v>
      </c>
      <c r="Q80" s="42">
        <v>10.0</v>
      </c>
      <c r="R80" s="32" t="s">
        <v>43</v>
      </c>
      <c r="S80" s="32">
        <v>18.0</v>
      </c>
      <c r="T80" s="32">
        <v>20.0</v>
      </c>
      <c r="U80" s="32" t="s">
        <v>44</v>
      </c>
      <c r="V80" s="43"/>
      <c r="W80" s="2"/>
      <c r="X80" s="34" t="s">
        <v>376</v>
      </c>
      <c r="Y80" s="35" t="s">
        <v>377</v>
      </c>
      <c r="Z80" s="36">
        <v>29000.0</v>
      </c>
      <c r="AA80" s="37">
        <f t="shared" si="1"/>
        <v>23200</v>
      </c>
      <c r="AB80" s="2"/>
      <c r="AC80" s="2"/>
      <c r="AD80" s="2"/>
    </row>
    <row r="81" ht="43.5" customHeight="1">
      <c r="A81" s="70"/>
      <c r="B81" s="45"/>
      <c r="C81" s="46" t="s">
        <v>378</v>
      </c>
      <c r="D81" s="65">
        <v>3216.0</v>
      </c>
      <c r="E81" s="90" t="s">
        <v>334</v>
      </c>
      <c r="F81" s="65"/>
      <c r="G81" s="72" t="s">
        <v>269</v>
      </c>
      <c r="H81" s="49">
        <v>8.809668465792E12</v>
      </c>
      <c r="I81" s="50">
        <v>1.8809668465799E13</v>
      </c>
      <c r="J81" s="72" t="s">
        <v>38</v>
      </c>
      <c r="K81" s="72">
        <v>216.0</v>
      </c>
      <c r="L81" s="73" t="s">
        <v>335</v>
      </c>
      <c r="M81" s="73" t="s">
        <v>335</v>
      </c>
      <c r="N81" s="73" t="s">
        <v>83</v>
      </c>
      <c r="O81" s="73" t="s">
        <v>84</v>
      </c>
      <c r="P81" s="72">
        <v>100.0</v>
      </c>
      <c r="Q81" s="74">
        <v>10.0</v>
      </c>
      <c r="R81" s="72" t="s">
        <v>43</v>
      </c>
      <c r="S81" s="32">
        <v>13.0</v>
      </c>
      <c r="T81" s="72">
        <v>14.5</v>
      </c>
      <c r="U81" s="32" t="s">
        <v>44</v>
      </c>
      <c r="V81" s="75"/>
      <c r="W81" s="2"/>
      <c r="X81" s="34" t="s">
        <v>379</v>
      </c>
      <c r="Y81" s="35" t="s">
        <v>380</v>
      </c>
      <c r="Z81" s="36">
        <v>29000.0</v>
      </c>
      <c r="AA81" s="37">
        <f t="shared" si="1"/>
        <v>23200</v>
      </c>
      <c r="AB81" s="2"/>
      <c r="AC81" s="2"/>
      <c r="AD81" s="2"/>
    </row>
    <row r="82" ht="43.5" customHeight="1">
      <c r="A82" s="76" t="s">
        <v>381</v>
      </c>
      <c r="B82" s="45"/>
      <c r="C82" s="91" t="s">
        <v>382</v>
      </c>
      <c r="D82" s="32"/>
      <c r="E82" s="62" t="s">
        <v>383</v>
      </c>
      <c r="F82" s="32"/>
      <c r="G82" s="32" t="s">
        <v>384</v>
      </c>
      <c r="H82" s="54">
        <v>8.809668466201E12</v>
      </c>
      <c r="I82" s="54">
        <v>1.8809668466208E13</v>
      </c>
      <c r="J82" s="32"/>
      <c r="K82" s="32"/>
      <c r="L82" s="92" t="s">
        <v>385</v>
      </c>
      <c r="M82" s="44"/>
      <c r="N82" s="78" t="s">
        <v>41</v>
      </c>
      <c r="O82" s="78" t="s">
        <v>42</v>
      </c>
      <c r="P82" s="62">
        <v>20.0</v>
      </c>
      <c r="Q82" s="79">
        <v>25.0</v>
      </c>
      <c r="R82" s="62" t="s">
        <v>43</v>
      </c>
      <c r="S82" s="93">
        <v>10.0</v>
      </c>
      <c r="T82" s="94">
        <v>10.0</v>
      </c>
      <c r="U82" s="61" t="s">
        <v>44</v>
      </c>
      <c r="V82" s="43"/>
      <c r="W82" s="2"/>
      <c r="X82" s="58" t="s">
        <v>386</v>
      </c>
      <c r="Y82" s="59" t="s">
        <v>387</v>
      </c>
      <c r="Z82" s="95">
        <v>8000.0</v>
      </c>
      <c r="AA82" s="37">
        <f t="shared" si="1"/>
        <v>6400</v>
      </c>
      <c r="AB82" s="2"/>
      <c r="AC82" s="2"/>
      <c r="AD82" s="2"/>
    </row>
    <row r="83" ht="43.5" customHeight="1">
      <c r="A83" s="39"/>
      <c r="B83" s="45"/>
      <c r="C83" s="91" t="s">
        <v>388</v>
      </c>
      <c r="D83" s="32"/>
      <c r="E83" s="62" t="s">
        <v>383</v>
      </c>
      <c r="F83" s="32"/>
      <c r="G83" s="32" t="s">
        <v>384</v>
      </c>
      <c r="H83" s="54">
        <v>8.809668466218E12</v>
      </c>
      <c r="I83" s="54">
        <v>1.8809668466215E13</v>
      </c>
      <c r="J83" s="32"/>
      <c r="K83" s="32"/>
      <c r="L83" s="96" t="s">
        <v>385</v>
      </c>
      <c r="M83" s="44"/>
      <c r="N83" s="40" t="s">
        <v>389</v>
      </c>
      <c r="O83" s="32" t="s">
        <v>390</v>
      </c>
      <c r="P83" s="40">
        <v>50.0</v>
      </c>
      <c r="Q83" s="42">
        <v>10.0</v>
      </c>
      <c r="R83" s="68" t="s">
        <v>43</v>
      </c>
      <c r="S83" s="82">
        <v>10.0</v>
      </c>
      <c r="T83" s="81">
        <v>10.0</v>
      </c>
      <c r="U83" s="62" t="s">
        <v>44</v>
      </c>
      <c r="V83" s="43"/>
      <c r="W83" s="2"/>
      <c r="X83" s="58" t="s">
        <v>391</v>
      </c>
      <c r="Y83" s="59" t="s">
        <v>392</v>
      </c>
      <c r="Z83" s="95">
        <v>14000.0</v>
      </c>
      <c r="AA83" s="37">
        <f t="shared" si="1"/>
        <v>11200</v>
      </c>
      <c r="AB83" s="2"/>
      <c r="AC83" s="2"/>
      <c r="AD83" s="2"/>
    </row>
    <row r="84" ht="43.5" customHeight="1">
      <c r="A84" s="39"/>
      <c r="B84" s="24"/>
      <c r="C84" s="25" t="s">
        <v>393</v>
      </c>
      <c r="D84" s="32"/>
      <c r="E84" s="65" t="s">
        <v>394</v>
      </c>
      <c r="F84" s="32"/>
      <c r="G84" s="32" t="s">
        <v>384</v>
      </c>
      <c r="H84" s="54">
        <v>8.809668466225E12</v>
      </c>
      <c r="I84" s="54">
        <v>1.8809668466222E13</v>
      </c>
      <c r="J84" s="32"/>
      <c r="K84" s="32"/>
      <c r="L84" s="96" t="s">
        <v>395</v>
      </c>
      <c r="M84" s="44"/>
      <c r="N84" s="78" t="s">
        <v>41</v>
      </c>
      <c r="O84" s="78" t="s">
        <v>42</v>
      </c>
      <c r="P84" s="62">
        <v>20.0</v>
      </c>
      <c r="Q84" s="79">
        <v>25.0</v>
      </c>
      <c r="R84" s="68" t="s">
        <v>43</v>
      </c>
      <c r="S84" s="82">
        <v>10.0</v>
      </c>
      <c r="T84" s="81">
        <v>10.0</v>
      </c>
      <c r="U84" s="62" t="s">
        <v>44</v>
      </c>
      <c r="V84" s="43"/>
      <c r="W84" s="2"/>
      <c r="X84" s="58" t="s">
        <v>396</v>
      </c>
      <c r="Y84" s="59" t="s">
        <v>397</v>
      </c>
      <c r="Z84" s="95">
        <v>8000.0</v>
      </c>
      <c r="AA84" s="37">
        <f t="shared" si="1"/>
        <v>6400</v>
      </c>
      <c r="AB84" s="2"/>
      <c r="AC84" s="2"/>
      <c r="AD84" s="2"/>
    </row>
    <row r="85" ht="43.5" customHeight="1">
      <c r="A85" s="70"/>
      <c r="B85" s="24"/>
      <c r="C85" s="46" t="s">
        <v>398</v>
      </c>
      <c r="D85" s="47"/>
      <c r="E85" s="65" t="s">
        <v>394</v>
      </c>
      <c r="F85" s="47"/>
      <c r="G85" s="47" t="s">
        <v>384</v>
      </c>
      <c r="H85" s="97">
        <v>8.809668466232E12</v>
      </c>
      <c r="I85" s="97">
        <v>1.8809668466239E13</v>
      </c>
      <c r="J85" s="47"/>
      <c r="K85" s="47"/>
      <c r="L85" s="98" t="s">
        <v>395</v>
      </c>
      <c r="M85" s="51"/>
      <c r="N85" s="48" t="s">
        <v>389</v>
      </c>
      <c r="O85" s="47" t="s">
        <v>390</v>
      </c>
      <c r="P85" s="48">
        <v>50.0</v>
      </c>
      <c r="Q85" s="52">
        <v>10.0</v>
      </c>
      <c r="R85" s="65" t="s">
        <v>43</v>
      </c>
      <c r="S85" s="99">
        <v>10.0</v>
      </c>
      <c r="T85" s="100">
        <v>10.0</v>
      </c>
      <c r="U85" s="65" t="s">
        <v>44</v>
      </c>
      <c r="V85" s="53"/>
      <c r="W85" s="2"/>
      <c r="X85" s="58" t="s">
        <v>399</v>
      </c>
      <c r="Y85" s="59" t="s">
        <v>400</v>
      </c>
      <c r="Z85" s="95">
        <v>14000.0</v>
      </c>
      <c r="AA85" s="37">
        <f t="shared" si="1"/>
        <v>11200</v>
      </c>
      <c r="AB85" s="2"/>
      <c r="AC85" s="2"/>
      <c r="AD85" s="2"/>
    </row>
    <row r="86" ht="43.5" customHeight="1">
      <c r="A86" s="101" t="s">
        <v>401</v>
      </c>
      <c r="B86" s="24"/>
      <c r="C86" s="25" t="s">
        <v>402</v>
      </c>
      <c r="D86" s="32"/>
      <c r="E86" s="66" t="s">
        <v>403</v>
      </c>
      <c r="F86" s="32">
        <v>211.0</v>
      </c>
      <c r="G86" s="32" t="s">
        <v>401</v>
      </c>
      <c r="H86" s="28">
        <v>8.809668465808E12</v>
      </c>
      <c r="I86" s="29">
        <v>1.88096684658E12</v>
      </c>
      <c r="J86" s="32" t="s">
        <v>38</v>
      </c>
      <c r="K86" s="32">
        <v>1.0</v>
      </c>
      <c r="L86" s="44" t="s">
        <v>39</v>
      </c>
      <c r="M86" s="44" t="s">
        <v>40</v>
      </c>
      <c r="N86" s="44" t="s">
        <v>404</v>
      </c>
      <c r="O86" s="44" t="s">
        <v>405</v>
      </c>
      <c r="P86" s="32">
        <v>100.0</v>
      </c>
      <c r="Q86" s="42">
        <v>10.0</v>
      </c>
      <c r="R86" s="32" t="s">
        <v>406</v>
      </c>
      <c r="S86" s="32">
        <v>4.699</v>
      </c>
      <c r="T86" s="32">
        <v>5.4</v>
      </c>
      <c r="U86" s="32" t="s">
        <v>44</v>
      </c>
      <c r="V86" s="43"/>
      <c r="W86" s="2"/>
      <c r="X86" s="102" t="s">
        <v>407</v>
      </c>
      <c r="Y86" s="35" t="s">
        <v>408</v>
      </c>
      <c r="Z86" s="95">
        <v>32000.0</v>
      </c>
      <c r="AA86" s="37">
        <f t="shared" si="1"/>
        <v>25600</v>
      </c>
      <c r="AB86" s="2"/>
      <c r="AC86" s="2"/>
      <c r="AD86" s="2"/>
    </row>
    <row r="87" ht="43.5" customHeight="1">
      <c r="A87" s="39"/>
      <c r="B87" s="24"/>
      <c r="C87" s="25" t="s">
        <v>409</v>
      </c>
      <c r="D87" s="40">
        <v>3120.0</v>
      </c>
      <c r="E87" s="40" t="s">
        <v>410</v>
      </c>
      <c r="F87" s="40">
        <v>212.0</v>
      </c>
      <c r="G87" s="32" t="s">
        <v>401</v>
      </c>
      <c r="H87" s="54">
        <v>8.809668466249E12</v>
      </c>
      <c r="I87" s="55">
        <v>1.8809668466246E13</v>
      </c>
      <c r="J87" s="32" t="s">
        <v>38</v>
      </c>
      <c r="K87" s="40">
        <v>2.0</v>
      </c>
      <c r="L87" s="42" t="s">
        <v>55</v>
      </c>
      <c r="M87" s="42" t="s">
        <v>56</v>
      </c>
      <c r="N87" s="44" t="s">
        <v>404</v>
      </c>
      <c r="O87" s="44" t="s">
        <v>405</v>
      </c>
      <c r="P87" s="32">
        <v>100.0</v>
      </c>
      <c r="Q87" s="42">
        <v>10.0</v>
      </c>
      <c r="R87" s="32" t="s">
        <v>406</v>
      </c>
      <c r="S87" s="32">
        <v>5.715</v>
      </c>
      <c r="T87" s="32">
        <v>5.41</v>
      </c>
      <c r="U87" s="32" t="s">
        <v>44</v>
      </c>
      <c r="V87" s="43"/>
      <c r="W87" s="2"/>
      <c r="X87" s="58" t="s">
        <v>411</v>
      </c>
      <c r="Y87" s="59" t="s">
        <v>412</v>
      </c>
      <c r="Z87" s="95">
        <v>32000.0</v>
      </c>
      <c r="AA87" s="37">
        <f t="shared" si="1"/>
        <v>25600</v>
      </c>
      <c r="AB87" s="2"/>
      <c r="AC87" s="2"/>
      <c r="AD87" s="2"/>
    </row>
    <row r="88" ht="43.5" customHeight="1">
      <c r="A88" s="39"/>
      <c r="B88" s="24"/>
      <c r="C88" s="25" t="s">
        <v>413</v>
      </c>
      <c r="D88" s="32">
        <v>3114.0</v>
      </c>
      <c r="E88" s="40" t="s">
        <v>414</v>
      </c>
      <c r="F88" s="32">
        <v>224.0</v>
      </c>
      <c r="G88" s="32" t="s">
        <v>401</v>
      </c>
      <c r="H88" s="28">
        <v>8.809668465815E12</v>
      </c>
      <c r="I88" s="41">
        <v>1.8809668465812E13</v>
      </c>
      <c r="J88" s="32" t="s">
        <v>38</v>
      </c>
      <c r="K88" s="32">
        <v>8.0</v>
      </c>
      <c r="L88" s="44" t="s">
        <v>415</v>
      </c>
      <c r="M88" s="44" t="s">
        <v>123</v>
      </c>
      <c r="N88" s="44" t="s">
        <v>404</v>
      </c>
      <c r="O88" s="44" t="s">
        <v>405</v>
      </c>
      <c r="P88" s="32">
        <v>100.0</v>
      </c>
      <c r="Q88" s="42">
        <v>10.0</v>
      </c>
      <c r="R88" s="32" t="s">
        <v>406</v>
      </c>
      <c r="S88" s="32">
        <v>13.792</v>
      </c>
      <c r="T88" s="32">
        <v>5.086</v>
      </c>
      <c r="U88" s="32" t="s">
        <v>44</v>
      </c>
      <c r="V88" s="43"/>
      <c r="W88" s="2"/>
      <c r="X88" s="102" t="s">
        <v>416</v>
      </c>
      <c r="Y88" s="35" t="s">
        <v>417</v>
      </c>
      <c r="Z88" s="95">
        <v>32000.0</v>
      </c>
      <c r="AA88" s="37">
        <f t="shared" si="1"/>
        <v>25600</v>
      </c>
      <c r="AB88" s="2"/>
      <c r="AC88" s="2"/>
      <c r="AD88" s="2"/>
    </row>
    <row r="89" ht="43.5" customHeight="1">
      <c r="A89" s="39"/>
      <c r="B89" s="24"/>
      <c r="C89" s="25" t="s">
        <v>418</v>
      </c>
      <c r="D89" s="32">
        <v>3510.0</v>
      </c>
      <c r="E89" s="40" t="s">
        <v>419</v>
      </c>
      <c r="F89" s="32"/>
      <c r="G89" s="32" t="s">
        <v>401</v>
      </c>
      <c r="H89" s="28">
        <v>8.809668465822E12</v>
      </c>
      <c r="I89" s="41">
        <v>1.8809668465829E13</v>
      </c>
      <c r="J89" s="32" t="s">
        <v>38</v>
      </c>
      <c r="K89" s="32">
        <v>10.0</v>
      </c>
      <c r="L89" s="44" t="s">
        <v>128</v>
      </c>
      <c r="M89" s="44" t="s">
        <v>182</v>
      </c>
      <c r="N89" s="44" t="s">
        <v>404</v>
      </c>
      <c r="O89" s="44" t="s">
        <v>405</v>
      </c>
      <c r="P89" s="32">
        <v>100.0</v>
      </c>
      <c r="Q89" s="42">
        <v>10.0</v>
      </c>
      <c r="R89" s="32" t="s">
        <v>406</v>
      </c>
      <c r="S89" s="32">
        <v>20.5</v>
      </c>
      <c r="T89" s="32">
        <v>11.5</v>
      </c>
      <c r="U89" s="32" t="s">
        <v>44</v>
      </c>
      <c r="V89" s="43"/>
      <c r="W89" s="2"/>
      <c r="X89" s="102" t="s">
        <v>420</v>
      </c>
      <c r="Y89" s="35" t="s">
        <v>421</v>
      </c>
      <c r="Z89" s="95">
        <v>32000.0</v>
      </c>
      <c r="AA89" s="37">
        <f t="shared" si="1"/>
        <v>25600</v>
      </c>
      <c r="AB89" s="2"/>
      <c r="AC89" s="2"/>
      <c r="AD89" s="2"/>
    </row>
    <row r="90" ht="43.5" customHeight="1">
      <c r="A90" s="39"/>
      <c r="B90" s="24"/>
      <c r="C90" s="25" t="s">
        <v>422</v>
      </c>
      <c r="D90" s="32">
        <v>3107.0</v>
      </c>
      <c r="E90" s="40" t="s">
        <v>423</v>
      </c>
      <c r="F90" s="32">
        <v>228.0</v>
      </c>
      <c r="G90" s="32" t="s">
        <v>401</v>
      </c>
      <c r="H90" s="28">
        <v>8.809668465846E12</v>
      </c>
      <c r="I90" s="41">
        <v>1.8809668465843E13</v>
      </c>
      <c r="J90" s="32" t="s">
        <v>38</v>
      </c>
      <c r="K90" s="32">
        <v>16.0</v>
      </c>
      <c r="L90" s="44" t="s">
        <v>146</v>
      </c>
      <c r="M90" s="44" t="s">
        <v>147</v>
      </c>
      <c r="N90" s="44" t="s">
        <v>404</v>
      </c>
      <c r="O90" s="44" t="s">
        <v>405</v>
      </c>
      <c r="P90" s="32">
        <v>100.0</v>
      </c>
      <c r="Q90" s="42">
        <v>10.0</v>
      </c>
      <c r="R90" s="32" t="s">
        <v>406</v>
      </c>
      <c r="S90" s="32">
        <v>13.792</v>
      </c>
      <c r="T90" s="32">
        <v>5.086</v>
      </c>
      <c r="U90" s="32" t="s">
        <v>44</v>
      </c>
      <c r="V90" s="43"/>
      <c r="W90" s="2"/>
      <c r="X90" s="102" t="s">
        <v>424</v>
      </c>
      <c r="Y90" s="35" t="s">
        <v>425</v>
      </c>
      <c r="Z90" s="95">
        <v>32000.0</v>
      </c>
      <c r="AA90" s="37">
        <f t="shared" si="1"/>
        <v>25600</v>
      </c>
      <c r="AB90" s="2"/>
      <c r="AC90" s="2"/>
      <c r="AD90" s="2"/>
    </row>
    <row r="91" ht="43.5" customHeight="1">
      <c r="A91" s="70"/>
      <c r="B91" s="45"/>
      <c r="C91" s="46" t="s">
        <v>426</v>
      </c>
      <c r="D91" s="47">
        <v>3105.0</v>
      </c>
      <c r="E91" s="48" t="s">
        <v>427</v>
      </c>
      <c r="F91" s="47">
        <v>237.0</v>
      </c>
      <c r="G91" s="47" t="s">
        <v>401</v>
      </c>
      <c r="H91" s="49">
        <v>8.80966846586E12</v>
      </c>
      <c r="I91" s="50">
        <v>1.8809668465867E13</v>
      </c>
      <c r="J91" s="47" t="s">
        <v>38</v>
      </c>
      <c r="K91" s="47">
        <v>21.0</v>
      </c>
      <c r="L91" s="51" t="s">
        <v>162</v>
      </c>
      <c r="M91" s="51" t="s">
        <v>163</v>
      </c>
      <c r="N91" s="51" t="s">
        <v>404</v>
      </c>
      <c r="O91" s="51" t="s">
        <v>405</v>
      </c>
      <c r="P91" s="47">
        <v>100.0</v>
      </c>
      <c r="Q91" s="52">
        <v>10.0</v>
      </c>
      <c r="R91" s="47" t="s">
        <v>406</v>
      </c>
      <c r="S91" s="47">
        <v>15.875</v>
      </c>
      <c r="T91" s="47">
        <v>7.62</v>
      </c>
      <c r="U91" s="47" t="s">
        <v>44</v>
      </c>
      <c r="V91" s="53"/>
      <c r="W91" s="2"/>
      <c r="X91" s="102" t="s">
        <v>428</v>
      </c>
      <c r="Y91" s="35" t="s">
        <v>429</v>
      </c>
      <c r="Z91" s="95">
        <v>32000.0</v>
      </c>
      <c r="AA91" s="37">
        <f t="shared" si="1"/>
        <v>25600</v>
      </c>
      <c r="AB91" s="2"/>
      <c r="AC91" s="2"/>
      <c r="AD91" s="2"/>
    </row>
    <row r="92" ht="43.5" customHeight="1">
      <c r="A92" s="103" t="s">
        <v>430</v>
      </c>
      <c r="B92" s="24"/>
      <c r="C92" s="25" t="s">
        <v>431</v>
      </c>
      <c r="D92" s="32"/>
      <c r="E92" s="40" t="s">
        <v>432</v>
      </c>
      <c r="F92" s="32">
        <v>211.0</v>
      </c>
      <c r="G92" s="32" t="s">
        <v>430</v>
      </c>
      <c r="H92" s="28">
        <v>8.809668465907E12</v>
      </c>
      <c r="I92" s="29">
        <v>1.8809668465904E13</v>
      </c>
      <c r="J92" s="32" t="s">
        <v>38</v>
      </c>
      <c r="K92" s="32">
        <v>1.0</v>
      </c>
      <c r="L92" s="44" t="s">
        <v>39</v>
      </c>
      <c r="M92" s="44" t="s">
        <v>40</v>
      </c>
      <c r="N92" s="42" t="s">
        <v>41</v>
      </c>
      <c r="O92" s="44" t="s">
        <v>390</v>
      </c>
      <c r="P92" s="32">
        <v>10.0</v>
      </c>
      <c r="Q92" s="42">
        <v>40.0</v>
      </c>
      <c r="R92" s="32" t="s">
        <v>43</v>
      </c>
      <c r="S92" s="32">
        <v>4.699</v>
      </c>
      <c r="T92" s="32">
        <v>5.4</v>
      </c>
      <c r="U92" s="32" t="s">
        <v>44</v>
      </c>
      <c r="V92" s="43"/>
      <c r="W92" s="2"/>
      <c r="X92" s="102" t="s">
        <v>433</v>
      </c>
      <c r="Y92" s="35" t="s">
        <v>434</v>
      </c>
      <c r="Z92" s="95">
        <v>10000.0</v>
      </c>
      <c r="AA92" s="37">
        <f t="shared" si="1"/>
        <v>8000</v>
      </c>
      <c r="AB92" s="2"/>
      <c r="AC92" s="2"/>
      <c r="AD92" s="2"/>
    </row>
    <row r="93" ht="43.5" customHeight="1">
      <c r="A93" s="39"/>
      <c r="B93" s="24"/>
      <c r="C93" s="25" t="s">
        <v>435</v>
      </c>
      <c r="D93" s="40"/>
      <c r="E93" s="40" t="s">
        <v>432</v>
      </c>
      <c r="F93" s="32">
        <v>211.0</v>
      </c>
      <c r="G93" s="32" t="s">
        <v>430</v>
      </c>
      <c r="H93" s="54">
        <v>8.809668466256E12</v>
      </c>
      <c r="I93" s="54">
        <v>1.8809668466253E13</v>
      </c>
      <c r="J93" s="32" t="s">
        <v>38</v>
      </c>
      <c r="K93" s="32">
        <v>1.0</v>
      </c>
      <c r="L93" s="44" t="s">
        <v>39</v>
      </c>
      <c r="M93" s="44" t="s">
        <v>40</v>
      </c>
      <c r="N93" s="40" t="s">
        <v>389</v>
      </c>
      <c r="O93" s="32" t="s">
        <v>390</v>
      </c>
      <c r="P93" s="40">
        <v>50.0</v>
      </c>
      <c r="Q93" s="42">
        <v>10.0</v>
      </c>
      <c r="R93" s="32" t="s">
        <v>43</v>
      </c>
      <c r="S93" s="32">
        <v>4.699</v>
      </c>
      <c r="T93" s="32">
        <v>5.4</v>
      </c>
      <c r="U93" s="32" t="s">
        <v>44</v>
      </c>
      <c r="V93" s="43"/>
      <c r="W93" s="2"/>
      <c r="X93" s="104" t="s">
        <v>436</v>
      </c>
      <c r="Y93" s="91" t="s">
        <v>437</v>
      </c>
      <c r="Z93" s="95">
        <v>47000.0</v>
      </c>
      <c r="AA93" s="37">
        <f t="shared" si="1"/>
        <v>37600</v>
      </c>
      <c r="AB93" s="2"/>
      <c r="AC93" s="2"/>
      <c r="AD93" s="2"/>
    </row>
    <row r="94" ht="43.5" customHeight="1">
      <c r="A94" s="39"/>
      <c r="B94" s="24"/>
      <c r="C94" s="25" t="s">
        <v>438</v>
      </c>
      <c r="D94" s="40">
        <v>3120.0</v>
      </c>
      <c r="E94" s="40" t="s">
        <v>439</v>
      </c>
      <c r="F94" s="40">
        <v>212.0</v>
      </c>
      <c r="G94" s="32" t="s">
        <v>430</v>
      </c>
      <c r="H94" s="54">
        <v>8.809668466263E12</v>
      </c>
      <c r="I94" s="54">
        <v>1.880966846626E13</v>
      </c>
      <c r="J94" s="32" t="s">
        <v>38</v>
      </c>
      <c r="K94" s="40">
        <v>2.0</v>
      </c>
      <c r="L94" s="42" t="s">
        <v>55</v>
      </c>
      <c r="M94" s="42" t="s">
        <v>56</v>
      </c>
      <c r="N94" s="40" t="s">
        <v>41</v>
      </c>
      <c r="O94" s="32" t="s">
        <v>42</v>
      </c>
      <c r="P94" s="32">
        <v>10.0</v>
      </c>
      <c r="Q94" s="42">
        <v>40.0</v>
      </c>
      <c r="R94" s="32" t="s">
        <v>43</v>
      </c>
      <c r="S94" s="32">
        <v>5.715</v>
      </c>
      <c r="T94" s="32">
        <v>5.41</v>
      </c>
      <c r="U94" s="32" t="s">
        <v>44</v>
      </c>
      <c r="V94" s="43"/>
      <c r="W94" s="2"/>
      <c r="X94" s="58" t="s">
        <v>440</v>
      </c>
      <c r="Y94" s="59" t="s">
        <v>441</v>
      </c>
      <c r="Z94" s="95">
        <v>10000.0</v>
      </c>
      <c r="AA94" s="37">
        <f t="shared" si="1"/>
        <v>8000</v>
      </c>
      <c r="AB94" s="2"/>
      <c r="AC94" s="2"/>
      <c r="AD94" s="2"/>
    </row>
    <row r="95" ht="43.5" customHeight="1">
      <c r="A95" s="39"/>
      <c r="B95" s="24"/>
      <c r="C95" s="25" t="s">
        <v>442</v>
      </c>
      <c r="D95" s="32">
        <v>3118.0</v>
      </c>
      <c r="E95" s="40" t="s">
        <v>443</v>
      </c>
      <c r="F95" s="32">
        <v>614.0</v>
      </c>
      <c r="G95" s="32" t="s">
        <v>430</v>
      </c>
      <c r="H95" s="54">
        <v>8.80966846627E12</v>
      </c>
      <c r="I95" s="54">
        <v>1.8809668466277E13</v>
      </c>
      <c r="J95" s="32" t="s">
        <v>38</v>
      </c>
      <c r="K95" s="32">
        <v>4.0</v>
      </c>
      <c r="L95" s="44" t="s">
        <v>66</v>
      </c>
      <c r="M95" s="44" t="s">
        <v>67</v>
      </c>
      <c r="N95" s="40" t="s">
        <v>41</v>
      </c>
      <c r="O95" s="32" t="s">
        <v>42</v>
      </c>
      <c r="P95" s="32">
        <v>10.0</v>
      </c>
      <c r="Q95" s="42">
        <v>40.0</v>
      </c>
      <c r="R95" s="32" t="s">
        <v>43</v>
      </c>
      <c r="S95" s="32">
        <v>9.89</v>
      </c>
      <c r="T95" s="32">
        <v>4.99</v>
      </c>
      <c r="U95" s="32" t="s">
        <v>44</v>
      </c>
      <c r="V95" s="43"/>
      <c r="W95" s="2"/>
      <c r="X95" s="58" t="s">
        <v>444</v>
      </c>
      <c r="Y95" s="59" t="s">
        <v>445</v>
      </c>
      <c r="Z95" s="95">
        <v>10000.0</v>
      </c>
      <c r="AA95" s="37">
        <f t="shared" si="1"/>
        <v>8000</v>
      </c>
      <c r="AB95" s="2"/>
      <c r="AC95" s="2"/>
      <c r="AD95" s="2"/>
    </row>
    <row r="96" ht="43.5" customHeight="1">
      <c r="A96" s="39"/>
      <c r="B96" s="24"/>
      <c r="C96" s="25" t="s">
        <v>446</v>
      </c>
      <c r="D96" s="32">
        <v>3114.0</v>
      </c>
      <c r="E96" s="40" t="s">
        <v>414</v>
      </c>
      <c r="F96" s="32">
        <v>224.0</v>
      </c>
      <c r="G96" s="32" t="s">
        <v>430</v>
      </c>
      <c r="H96" s="54">
        <v>8.809668466287E12</v>
      </c>
      <c r="I96" s="54">
        <v>1.8809668466284E13</v>
      </c>
      <c r="J96" s="32" t="s">
        <v>38</v>
      </c>
      <c r="K96" s="32">
        <v>8.0</v>
      </c>
      <c r="L96" s="44" t="s">
        <v>122</v>
      </c>
      <c r="M96" s="44" t="s">
        <v>123</v>
      </c>
      <c r="N96" s="44" t="s">
        <v>41</v>
      </c>
      <c r="O96" s="44" t="s">
        <v>42</v>
      </c>
      <c r="P96" s="32">
        <v>10.0</v>
      </c>
      <c r="Q96" s="42">
        <v>40.0</v>
      </c>
      <c r="R96" s="32" t="s">
        <v>43</v>
      </c>
      <c r="S96" s="32">
        <v>13.792</v>
      </c>
      <c r="T96" s="32">
        <v>5.086</v>
      </c>
      <c r="U96" s="32" t="s">
        <v>44</v>
      </c>
      <c r="V96" s="43"/>
      <c r="W96" s="2"/>
      <c r="X96" s="58" t="s">
        <v>447</v>
      </c>
      <c r="Y96" s="59" t="s">
        <v>448</v>
      </c>
      <c r="Z96" s="95">
        <v>10000.0</v>
      </c>
      <c r="AA96" s="37">
        <f t="shared" si="1"/>
        <v>8000</v>
      </c>
      <c r="AB96" s="2"/>
      <c r="AC96" s="2"/>
      <c r="AD96" s="2"/>
    </row>
    <row r="97" ht="43.5" customHeight="1">
      <c r="A97" s="39"/>
      <c r="B97" s="24"/>
      <c r="C97" s="25" t="s">
        <v>449</v>
      </c>
      <c r="D97" s="32">
        <v>3107.0</v>
      </c>
      <c r="E97" s="40" t="s">
        <v>450</v>
      </c>
      <c r="F97" s="32">
        <v>228.0</v>
      </c>
      <c r="G97" s="32" t="s">
        <v>430</v>
      </c>
      <c r="H97" s="54">
        <v>8.809668466294E12</v>
      </c>
      <c r="I97" s="54">
        <v>1.8809668466291E13</v>
      </c>
      <c r="J97" s="32" t="s">
        <v>38</v>
      </c>
      <c r="K97" s="32">
        <v>16.0</v>
      </c>
      <c r="L97" s="44" t="s">
        <v>146</v>
      </c>
      <c r="M97" s="44" t="s">
        <v>147</v>
      </c>
      <c r="N97" s="44" t="s">
        <v>41</v>
      </c>
      <c r="O97" s="44" t="s">
        <v>42</v>
      </c>
      <c r="P97" s="32">
        <v>10.0</v>
      </c>
      <c r="Q97" s="57">
        <v>40.0</v>
      </c>
      <c r="R97" s="32" t="s">
        <v>43</v>
      </c>
      <c r="S97" s="32">
        <v>13.792</v>
      </c>
      <c r="T97" s="32">
        <v>5.086</v>
      </c>
      <c r="U97" s="32" t="s">
        <v>44</v>
      </c>
      <c r="V97" s="43"/>
      <c r="W97" s="2"/>
      <c r="X97" s="58" t="s">
        <v>451</v>
      </c>
      <c r="Y97" s="59" t="s">
        <v>452</v>
      </c>
      <c r="Z97" s="95">
        <v>10000.0</v>
      </c>
      <c r="AA97" s="37">
        <f t="shared" si="1"/>
        <v>8000</v>
      </c>
      <c r="AB97" s="2"/>
      <c r="AC97" s="2"/>
      <c r="AD97" s="2"/>
    </row>
    <row r="98" ht="43.5" customHeight="1">
      <c r="A98" s="39"/>
      <c r="B98" s="24"/>
      <c r="C98" s="25" t="s">
        <v>453</v>
      </c>
      <c r="D98" s="62">
        <v>3105.0</v>
      </c>
      <c r="E98" s="66" t="s">
        <v>454</v>
      </c>
      <c r="F98" s="62">
        <v>237.0</v>
      </c>
      <c r="G98" s="62" t="s">
        <v>430</v>
      </c>
      <c r="H98" s="88">
        <v>8.809668465914E12</v>
      </c>
      <c r="I98" s="41">
        <v>1.8809668465911E13</v>
      </c>
      <c r="J98" s="62" t="s">
        <v>38</v>
      </c>
      <c r="K98" s="62">
        <v>21.0</v>
      </c>
      <c r="L98" s="87" t="s">
        <v>162</v>
      </c>
      <c r="M98" s="87" t="s">
        <v>163</v>
      </c>
      <c r="N98" s="87" t="s">
        <v>41</v>
      </c>
      <c r="O98" s="44" t="s">
        <v>42</v>
      </c>
      <c r="P98" s="62">
        <v>10.0</v>
      </c>
      <c r="Q98" s="57">
        <v>40.0</v>
      </c>
      <c r="R98" s="62" t="s">
        <v>43</v>
      </c>
      <c r="S98" s="62">
        <v>15.875</v>
      </c>
      <c r="T98" s="62">
        <v>7.62</v>
      </c>
      <c r="U98" s="62" t="s">
        <v>44</v>
      </c>
      <c r="V98" s="80"/>
      <c r="W98" s="2"/>
      <c r="X98" s="102" t="s">
        <v>455</v>
      </c>
      <c r="Y98" s="35" t="s">
        <v>456</v>
      </c>
      <c r="Z98" s="95">
        <v>10000.0</v>
      </c>
      <c r="AA98" s="37">
        <f t="shared" si="1"/>
        <v>8000</v>
      </c>
      <c r="AB98" s="2"/>
      <c r="AC98" s="2"/>
      <c r="AD98" s="2"/>
    </row>
    <row r="99" ht="43.5" customHeight="1">
      <c r="A99" s="39"/>
      <c r="B99" s="63"/>
      <c r="C99" s="67" t="s">
        <v>457</v>
      </c>
      <c r="D99" s="68">
        <v>3102.0</v>
      </c>
      <c r="E99" s="69" t="s">
        <v>458</v>
      </c>
      <c r="F99" s="68">
        <v>540.0</v>
      </c>
      <c r="G99" s="68" t="s">
        <v>430</v>
      </c>
      <c r="H99" s="88">
        <v>8.809668465921E12</v>
      </c>
      <c r="I99" s="41">
        <v>1.8809668465928E13</v>
      </c>
      <c r="J99" s="68" t="s">
        <v>38</v>
      </c>
      <c r="K99" s="68">
        <v>40.0</v>
      </c>
      <c r="L99" s="105" t="s">
        <v>220</v>
      </c>
      <c r="M99" s="105" t="s">
        <v>221</v>
      </c>
      <c r="N99" s="105" t="s">
        <v>41</v>
      </c>
      <c r="O99" s="78" t="s">
        <v>459</v>
      </c>
      <c r="P99" s="68">
        <v>10.0</v>
      </c>
      <c r="Q99" s="105">
        <v>40.0</v>
      </c>
      <c r="R99" s="68" t="s">
        <v>43</v>
      </c>
      <c r="S99" s="68">
        <v>14.0</v>
      </c>
      <c r="T99" s="68">
        <v>7.5</v>
      </c>
      <c r="U99" s="68" t="s">
        <v>44</v>
      </c>
      <c r="V99" s="106"/>
      <c r="W99" s="2"/>
      <c r="X99" s="102" t="s">
        <v>460</v>
      </c>
      <c r="Y99" s="35" t="s">
        <v>461</v>
      </c>
      <c r="Z99" s="95">
        <v>10000.0</v>
      </c>
      <c r="AA99" s="37">
        <f t="shared" si="1"/>
        <v>8000</v>
      </c>
      <c r="AB99" s="2"/>
      <c r="AC99" s="2"/>
      <c r="AD99" s="2"/>
    </row>
    <row r="100" ht="43.5" customHeight="1">
      <c r="A100" s="70"/>
      <c r="B100" s="45"/>
      <c r="C100" s="46" t="s">
        <v>462</v>
      </c>
      <c r="D100" s="65">
        <v>3101.0</v>
      </c>
      <c r="E100" s="84" t="s">
        <v>463</v>
      </c>
      <c r="F100" s="65">
        <v>562.0</v>
      </c>
      <c r="G100" s="65" t="s">
        <v>430</v>
      </c>
      <c r="H100" s="107">
        <v>8.8096684663E12</v>
      </c>
      <c r="I100" s="108">
        <v>1.8809668466307E13</v>
      </c>
      <c r="J100" s="65" t="s">
        <v>38</v>
      </c>
      <c r="K100" s="65">
        <v>60.0</v>
      </c>
      <c r="L100" s="85" t="s">
        <v>237</v>
      </c>
      <c r="M100" s="85" t="s">
        <v>238</v>
      </c>
      <c r="N100" s="51" t="s">
        <v>41</v>
      </c>
      <c r="O100" s="51" t="s">
        <v>42</v>
      </c>
      <c r="P100" s="65">
        <v>10.0</v>
      </c>
      <c r="Q100" s="109">
        <v>40.0</v>
      </c>
      <c r="R100" s="65" t="s">
        <v>43</v>
      </c>
      <c r="S100" s="65">
        <v>23.5</v>
      </c>
      <c r="T100" s="65">
        <v>6.0</v>
      </c>
      <c r="U100" s="47" t="s">
        <v>44</v>
      </c>
      <c r="V100" s="86"/>
      <c r="W100" s="110"/>
      <c r="X100" s="58" t="s">
        <v>464</v>
      </c>
      <c r="Y100" s="59" t="s">
        <v>465</v>
      </c>
      <c r="Z100" s="95">
        <v>10000.0</v>
      </c>
      <c r="AA100" s="37">
        <f t="shared" si="1"/>
        <v>8000</v>
      </c>
      <c r="AB100" s="2"/>
      <c r="AC100" s="2"/>
      <c r="AD100" s="2"/>
    </row>
    <row r="101" ht="43.5" customHeight="1">
      <c r="A101" s="111" t="s">
        <v>466</v>
      </c>
      <c r="B101" s="24"/>
      <c r="C101" s="25" t="s">
        <v>467</v>
      </c>
      <c r="D101" s="40"/>
      <c r="E101" s="40" t="s">
        <v>468</v>
      </c>
      <c r="F101" s="40">
        <v>211.0</v>
      </c>
      <c r="G101" s="40" t="s">
        <v>466</v>
      </c>
      <c r="H101" s="29">
        <v>8.809668465938E12</v>
      </c>
      <c r="I101" s="29">
        <v>1.8809668465935E13</v>
      </c>
      <c r="J101" s="32" t="s">
        <v>38</v>
      </c>
      <c r="K101" s="40">
        <v>1.0</v>
      </c>
      <c r="L101" s="42" t="s">
        <v>39</v>
      </c>
      <c r="M101" s="42" t="s">
        <v>40</v>
      </c>
      <c r="N101" s="42" t="s">
        <v>41</v>
      </c>
      <c r="O101" s="44" t="s">
        <v>42</v>
      </c>
      <c r="P101" s="40">
        <v>10.0</v>
      </c>
      <c r="Q101" s="42">
        <v>40.0</v>
      </c>
      <c r="R101" s="32" t="s">
        <v>469</v>
      </c>
      <c r="S101" s="32">
        <v>4.699</v>
      </c>
      <c r="T101" s="32">
        <v>5.4</v>
      </c>
      <c r="U101" s="32" t="s">
        <v>470</v>
      </c>
      <c r="V101" s="112" t="s">
        <v>471</v>
      </c>
      <c r="W101" s="2"/>
      <c r="X101" s="102" t="s">
        <v>472</v>
      </c>
      <c r="Y101" s="35" t="s">
        <v>473</v>
      </c>
      <c r="Z101" s="95">
        <v>10000.0</v>
      </c>
      <c r="AA101" s="37">
        <f t="shared" si="1"/>
        <v>8000</v>
      </c>
      <c r="AB101" s="2"/>
      <c r="AC101" s="2"/>
      <c r="AD101" s="2"/>
    </row>
    <row r="102" ht="43.5" customHeight="1">
      <c r="A102" s="39"/>
      <c r="B102" s="24"/>
      <c r="C102" s="25" t="s">
        <v>474</v>
      </c>
      <c r="D102" s="40"/>
      <c r="E102" s="40" t="s">
        <v>468</v>
      </c>
      <c r="F102" s="40">
        <v>211.0</v>
      </c>
      <c r="G102" s="40" t="s">
        <v>466</v>
      </c>
      <c r="H102" s="55">
        <v>8.809668466317E12</v>
      </c>
      <c r="I102" s="55">
        <v>1.8809668466314E13</v>
      </c>
      <c r="J102" s="32" t="s">
        <v>38</v>
      </c>
      <c r="K102" s="40">
        <v>1.0</v>
      </c>
      <c r="L102" s="42" t="s">
        <v>39</v>
      </c>
      <c r="M102" s="42" t="s">
        <v>40</v>
      </c>
      <c r="N102" s="40" t="s">
        <v>389</v>
      </c>
      <c r="O102" s="32" t="s">
        <v>390</v>
      </c>
      <c r="P102" s="40">
        <v>50.0</v>
      </c>
      <c r="Q102" s="42">
        <v>10.0</v>
      </c>
      <c r="R102" s="32" t="s">
        <v>469</v>
      </c>
      <c r="S102" s="32">
        <v>4.699</v>
      </c>
      <c r="T102" s="32">
        <v>5.4</v>
      </c>
      <c r="U102" s="32" t="s">
        <v>470</v>
      </c>
      <c r="V102" s="112" t="s">
        <v>471</v>
      </c>
      <c r="W102" s="2"/>
      <c r="X102" s="58" t="s">
        <v>475</v>
      </c>
      <c r="Y102" s="59" t="s">
        <v>476</v>
      </c>
      <c r="Z102" s="95">
        <v>42000.0</v>
      </c>
      <c r="AA102" s="37">
        <f t="shared" si="1"/>
        <v>33600</v>
      </c>
      <c r="AB102" s="2"/>
      <c r="AC102" s="2"/>
      <c r="AD102" s="2"/>
    </row>
    <row r="103" ht="43.5" customHeight="1">
      <c r="A103" s="39"/>
      <c r="B103" s="24"/>
      <c r="C103" s="113" t="s">
        <v>477</v>
      </c>
      <c r="D103" s="40">
        <v>3120.0</v>
      </c>
      <c r="E103" s="40" t="s">
        <v>54</v>
      </c>
      <c r="F103" s="40">
        <v>212.0</v>
      </c>
      <c r="G103" s="40" t="s">
        <v>466</v>
      </c>
      <c r="H103" s="55">
        <v>8.809668466324E12</v>
      </c>
      <c r="I103" s="55">
        <v>1.8809668466321E13</v>
      </c>
      <c r="J103" s="32" t="s">
        <v>38</v>
      </c>
      <c r="K103" s="40">
        <v>2.0</v>
      </c>
      <c r="L103" s="42" t="s">
        <v>55</v>
      </c>
      <c r="M103" s="42" t="s">
        <v>56</v>
      </c>
      <c r="N103" s="40" t="s">
        <v>41</v>
      </c>
      <c r="O103" s="32" t="s">
        <v>42</v>
      </c>
      <c r="P103" s="40">
        <v>10.0</v>
      </c>
      <c r="Q103" s="42">
        <v>40.0</v>
      </c>
      <c r="R103" s="32" t="s">
        <v>469</v>
      </c>
      <c r="S103" s="32">
        <v>5.715</v>
      </c>
      <c r="T103" s="32">
        <v>5.41</v>
      </c>
      <c r="U103" s="32" t="s">
        <v>470</v>
      </c>
      <c r="V103" s="112" t="s">
        <v>471</v>
      </c>
      <c r="W103" s="2"/>
      <c r="X103" s="104" t="s">
        <v>478</v>
      </c>
      <c r="Y103" s="91" t="s">
        <v>479</v>
      </c>
      <c r="Z103" s="95">
        <v>10000.0</v>
      </c>
      <c r="AA103" s="37">
        <f t="shared" si="1"/>
        <v>8000</v>
      </c>
      <c r="AB103" s="2"/>
      <c r="AC103" s="2"/>
      <c r="AD103" s="2"/>
    </row>
    <row r="104" ht="43.5" customHeight="1">
      <c r="A104" s="39"/>
      <c r="B104" s="24"/>
      <c r="C104" s="25" t="s">
        <v>480</v>
      </c>
      <c r="D104" s="40">
        <v>3114.0</v>
      </c>
      <c r="E104" s="40" t="s">
        <v>481</v>
      </c>
      <c r="F104" s="40">
        <v>224.0</v>
      </c>
      <c r="G104" s="40" t="s">
        <v>466</v>
      </c>
      <c r="H104" s="41">
        <v>8.809668465945E12</v>
      </c>
      <c r="I104" s="41">
        <v>1.8809668465942E13</v>
      </c>
      <c r="J104" s="32" t="s">
        <v>38</v>
      </c>
      <c r="K104" s="40">
        <v>8.0</v>
      </c>
      <c r="L104" s="42" t="s">
        <v>122</v>
      </c>
      <c r="M104" s="42" t="s">
        <v>123</v>
      </c>
      <c r="N104" s="42" t="s">
        <v>41</v>
      </c>
      <c r="O104" s="44" t="s">
        <v>42</v>
      </c>
      <c r="P104" s="40">
        <v>10.0</v>
      </c>
      <c r="Q104" s="42">
        <v>40.0</v>
      </c>
      <c r="R104" s="32" t="s">
        <v>469</v>
      </c>
      <c r="S104" s="32">
        <v>13.792</v>
      </c>
      <c r="T104" s="32">
        <v>5.086</v>
      </c>
      <c r="U104" s="32" t="s">
        <v>470</v>
      </c>
      <c r="V104" s="112" t="s">
        <v>471</v>
      </c>
      <c r="W104" s="2"/>
      <c r="X104" s="102" t="s">
        <v>482</v>
      </c>
      <c r="Y104" s="35" t="s">
        <v>483</v>
      </c>
      <c r="Z104" s="95">
        <v>10000.0</v>
      </c>
      <c r="AA104" s="37">
        <f t="shared" si="1"/>
        <v>8000</v>
      </c>
      <c r="AB104" s="2"/>
      <c r="AC104" s="2"/>
      <c r="AD104" s="2"/>
    </row>
    <row r="105" ht="43.5" customHeight="1">
      <c r="A105" s="39"/>
      <c r="B105" s="24"/>
      <c r="C105" s="25" t="s">
        <v>484</v>
      </c>
      <c r="D105" s="40">
        <v>3107.0</v>
      </c>
      <c r="E105" s="40" t="s">
        <v>485</v>
      </c>
      <c r="F105" s="40">
        <v>228.0</v>
      </c>
      <c r="G105" s="40" t="s">
        <v>466</v>
      </c>
      <c r="H105" s="41">
        <v>8.809668465969E12</v>
      </c>
      <c r="I105" s="41">
        <v>1.8809668465966E13</v>
      </c>
      <c r="J105" s="32" t="s">
        <v>38</v>
      </c>
      <c r="K105" s="40">
        <v>16.0</v>
      </c>
      <c r="L105" s="44" t="s">
        <v>146</v>
      </c>
      <c r="M105" s="42" t="s">
        <v>147</v>
      </c>
      <c r="N105" s="42" t="s">
        <v>41</v>
      </c>
      <c r="O105" s="44" t="s">
        <v>42</v>
      </c>
      <c r="P105" s="40">
        <v>10.0</v>
      </c>
      <c r="Q105" s="42">
        <v>40.0</v>
      </c>
      <c r="R105" s="32" t="s">
        <v>469</v>
      </c>
      <c r="S105" s="32">
        <v>13.792</v>
      </c>
      <c r="T105" s="32">
        <v>5.086</v>
      </c>
      <c r="U105" s="32" t="s">
        <v>470</v>
      </c>
      <c r="V105" s="112" t="s">
        <v>471</v>
      </c>
      <c r="W105" s="2"/>
      <c r="X105" s="102" t="s">
        <v>486</v>
      </c>
      <c r="Y105" s="35" t="s">
        <v>487</v>
      </c>
      <c r="Z105" s="95">
        <v>10000.0</v>
      </c>
      <c r="AA105" s="37">
        <f t="shared" si="1"/>
        <v>8000</v>
      </c>
      <c r="AB105" s="2"/>
      <c r="AC105" s="2"/>
      <c r="AD105" s="2"/>
    </row>
    <row r="106" ht="43.5" customHeight="1">
      <c r="A106" s="39"/>
      <c r="B106" s="24"/>
      <c r="C106" s="25" t="s">
        <v>488</v>
      </c>
      <c r="D106" s="40">
        <v>3105.0</v>
      </c>
      <c r="E106" s="40" t="s">
        <v>489</v>
      </c>
      <c r="F106" s="40">
        <v>237.0</v>
      </c>
      <c r="G106" s="40" t="s">
        <v>466</v>
      </c>
      <c r="H106" s="50">
        <v>8.809668465976E12</v>
      </c>
      <c r="I106" s="50">
        <v>1.8809668465973E13</v>
      </c>
      <c r="J106" s="32" t="s">
        <v>38</v>
      </c>
      <c r="K106" s="40">
        <v>21.0</v>
      </c>
      <c r="L106" s="42" t="s">
        <v>162</v>
      </c>
      <c r="M106" s="42" t="s">
        <v>163</v>
      </c>
      <c r="N106" s="42" t="s">
        <v>41</v>
      </c>
      <c r="O106" s="44" t="s">
        <v>42</v>
      </c>
      <c r="P106" s="40">
        <v>10.0</v>
      </c>
      <c r="Q106" s="42">
        <v>40.0</v>
      </c>
      <c r="R106" s="32" t="s">
        <v>469</v>
      </c>
      <c r="S106" s="32">
        <v>15.875</v>
      </c>
      <c r="T106" s="32">
        <v>7.62</v>
      </c>
      <c r="U106" s="32" t="s">
        <v>470</v>
      </c>
      <c r="V106" s="112" t="s">
        <v>471</v>
      </c>
      <c r="W106" s="2"/>
      <c r="X106" s="102" t="s">
        <v>490</v>
      </c>
      <c r="Y106" s="35" t="s">
        <v>491</v>
      </c>
      <c r="Z106" s="95">
        <v>10000.0</v>
      </c>
      <c r="AA106" s="37">
        <f t="shared" si="1"/>
        <v>8000</v>
      </c>
      <c r="AB106" s="2"/>
      <c r="AC106" s="2"/>
      <c r="AD106" s="2"/>
    </row>
    <row r="107" ht="43.5" customHeight="1">
      <c r="A107" s="114" t="s">
        <v>492</v>
      </c>
      <c r="B107" s="115"/>
      <c r="C107" s="116" t="s">
        <v>493</v>
      </c>
      <c r="D107" s="61"/>
      <c r="E107" s="27" t="s">
        <v>494</v>
      </c>
      <c r="F107" s="61">
        <v>611.0</v>
      </c>
      <c r="G107" s="26" t="s">
        <v>492</v>
      </c>
      <c r="H107" s="29">
        <v>8.80966846599E12</v>
      </c>
      <c r="I107" s="29">
        <v>1.8809668465997E13</v>
      </c>
      <c r="J107" s="26" t="s">
        <v>38</v>
      </c>
      <c r="K107" s="61">
        <v>1.0</v>
      </c>
      <c r="L107" s="30" t="s">
        <v>49</v>
      </c>
      <c r="M107" s="117" t="s">
        <v>49</v>
      </c>
      <c r="N107" s="30" t="s">
        <v>41</v>
      </c>
      <c r="O107" s="117" t="s">
        <v>42</v>
      </c>
      <c r="P107" s="26">
        <v>5.0</v>
      </c>
      <c r="Q107" s="117">
        <v>40.0</v>
      </c>
      <c r="R107" s="26" t="s">
        <v>495</v>
      </c>
      <c r="S107" s="61" t="s">
        <v>50</v>
      </c>
      <c r="T107" s="26" t="s">
        <v>50</v>
      </c>
      <c r="U107" s="61" t="s">
        <v>44</v>
      </c>
      <c r="V107" s="118"/>
      <c r="W107" s="2"/>
      <c r="X107" s="102" t="s">
        <v>496</v>
      </c>
      <c r="Y107" s="35" t="s">
        <v>497</v>
      </c>
      <c r="Z107" s="95">
        <v>8000.0</v>
      </c>
      <c r="AA107" s="37">
        <f t="shared" si="1"/>
        <v>6400</v>
      </c>
      <c r="AB107" s="2"/>
      <c r="AC107" s="2"/>
      <c r="AD107" s="2"/>
    </row>
    <row r="108" ht="43.5" customHeight="1">
      <c r="A108" s="39"/>
      <c r="B108" s="77"/>
      <c r="C108" s="67" t="s">
        <v>498</v>
      </c>
      <c r="D108" s="66"/>
      <c r="E108" s="64" t="s">
        <v>494</v>
      </c>
      <c r="F108" s="62">
        <v>611.0</v>
      </c>
      <c r="G108" s="56" t="s">
        <v>492</v>
      </c>
      <c r="H108" s="55">
        <v>8.809668466331E12</v>
      </c>
      <c r="I108" s="55">
        <v>1.8809668466338E13</v>
      </c>
      <c r="J108" s="56" t="s">
        <v>38</v>
      </c>
      <c r="K108" s="62">
        <v>1.0</v>
      </c>
      <c r="L108" s="89" t="s">
        <v>49</v>
      </c>
      <c r="M108" s="57" t="s">
        <v>49</v>
      </c>
      <c r="N108" s="40" t="s">
        <v>389</v>
      </c>
      <c r="O108" s="32" t="s">
        <v>390</v>
      </c>
      <c r="P108" s="40">
        <v>50.0</v>
      </c>
      <c r="Q108" s="42">
        <v>10.0</v>
      </c>
      <c r="R108" s="56" t="s">
        <v>495</v>
      </c>
      <c r="S108" s="62" t="s">
        <v>50</v>
      </c>
      <c r="T108" s="56" t="s">
        <v>50</v>
      </c>
      <c r="U108" s="62" t="s">
        <v>44</v>
      </c>
      <c r="V108" s="112"/>
      <c r="W108" s="2"/>
      <c r="X108" s="58" t="s">
        <v>499</v>
      </c>
      <c r="Y108" s="59" t="s">
        <v>500</v>
      </c>
      <c r="Z108" s="95">
        <v>52000.0</v>
      </c>
      <c r="AA108" s="37">
        <f t="shared" si="1"/>
        <v>41600</v>
      </c>
      <c r="AB108" s="2"/>
      <c r="AC108" s="2"/>
      <c r="AD108" s="2"/>
    </row>
    <row r="109" ht="43.5" customHeight="1">
      <c r="A109" s="39"/>
      <c r="B109" s="24"/>
      <c r="C109" s="25" t="s">
        <v>501</v>
      </c>
      <c r="D109" s="66">
        <v>3120.0</v>
      </c>
      <c r="E109" s="40" t="s">
        <v>54</v>
      </c>
      <c r="F109" s="66">
        <v>212.0</v>
      </c>
      <c r="G109" s="68" t="s">
        <v>492</v>
      </c>
      <c r="H109" s="55">
        <v>8.809668466348E12</v>
      </c>
      <c r="I109" s="55">
        <v>1.8809668466345E13</v>
      </c>
      <c r="J109" s="32" t="s">
        <v>38</v>
      </c>
      <c r="K109" s="66">
        <v>2.0</v>
      </c>
      <c r="L109" s="42" t="s">
        <v>55</v>
      </c>
      <c r="M109" s="87" t="s">
        <v>56</v>
      </c>
      <c r="N109" s="40" t="s">
        <v>41</v>
      </c>
      <c r="O109" s="62" t="s">
        <v>42</v>
      </c>
      <c r="P109" s="40">
        <v>5.0</v>
      </c>
      <c r="Q109" s="87">
        <v>40.0</v>
      </c>
      <c r="R109" s="32" t="s">
        <v>495</v>
      </c>
      <c r="S109" s="62">
        <v>5.715</v>
      </c>
      <c r="T109" s="32">
        <v>5.41</v>
      </c>
      <c r="U109" s="62" t="s">
        <v>44</v>
      </c>
      <c r="V109" s="112"/>
      <c r="W109" s="2"/>
      <c r="X109" s="58" t="s">
        <v>502</v>
      </c>
      <c r="Y109" s="59" t="s">
        <v>503</v>
      </c>
      <c r="Z109" s="95">
        <v>8000.0</v>
      </c>
      <c r="AA109" s="37">
        <f t="shared" si="1"/>
        <v>6400</v>
      </c>
      <c r="AB109" s="2"/>
      <c r="AC109" s="2"/>
      <c r="AD109" s="2"/>
    </row>
    <row r="110" ht="43.5" customHeight="1">
      <c r="A110" s="39"/>
      <c r="B110" s="24"/>
      <c r="C110" s="25" t="s">
        <v>504</v>
      </c>
      <c r="D110" s="66">
        <v>3114.0</v>
      </c>
      <c r="E110" s="40" t="s">
        <v>481</v>
      </c>
      <c r="F110" s="66">
        <v>224.0</v>
      </c>
      <c r="G110" s="68" t="s">
        <v>492</v>
      </c>
      <c r="H110" s="55">
        <v>8.809668466355E12</v>
      </c>
      <c r="I110" s="55">
        <v>1.8809668466352E13</v>
      </c>
      <c r="J110" s="32" t="s">
        <v>38</v>
      </c>
      <c r="K110" s="62">
        <v>8.0</v>
      </c>
      <c r="L110" s="44" t="s">
        <v>122</v>
      </c>
      <c r="M110" s="57" t="s">
        <v>123</v>
      </c>
      <c r="N110" s="44" t="s">
        <v>41</v>
      </c>
      <c r="O110" s="57" t="s">
        <v>42</v>
      </c>
      <c r="P110" s="40">
        <v>5.0</v>
      </c>
      <c r="Q110" s="87">
        <v>40.0</v>
      </c>
      <c r="R110" s="32" t="s">
        <v>495</v>
      </c>
      <c r="S110" s="62">
        <v>13.792</v>
      </c>
      <c r="T110" s="32">
        <v>5.086</v>
      </c>
      <c r="U110" s="62" t="s">
        <v>44</v>
      </c>
      <c r="V110" s="112"/>
      <c r="W110" s="2"/>
      <c r="X110" s="58" t="s">
        <v>505</v>
      </c>
      <c r="Y110" s="59" t="s">
        <v>506</v>
      </c>
      <c r="Z110" s="95">
        <v>8000.0</v>
      </c>
      <c r="AA110" s="37">
        <f t="shared" si="1"/>
        <v>6400</v>
      </c>
      <c r="AB110" s="2"/>
      <c r="AC110" s="2"/>
      <c r="AD110" s="2"/>
    </row>
    <row r="111" ht="43.5" customHeight="1">
      <c r="A111" s="39"/>
      <c r="B111" s="24"/>
      <c r="C111" s="25" t="s">
        <v>507</v>
      </c>
      <c r="D111" s="62">
        <v>3107.0</v>
      </c>
      <c r="E111" s="40" t="s">
        <v>508</v>
      </c>
      <c r="F111" s="62">
        <v>228.0</v>
      </c>
      <c r="G111" s="68" t="s">
        <v>492</v>
      </c>
      <c r="H111" s="41">
        <v>8.809668466003E12</v>
      </c>
      <c r="I111" s="41">
        <v>1.8809668466E13</v>
      </c>
      <c r="J111" s="32" t="s">
        <v>38</v>
      </c>
      <c r="K111" s="62">
        <v>16.0</v>
      </c>
      <c r="L111" s="44" t="s">
        <v>146</v>
      </c>
      <c r="M111" s="57" t="s">
        <v>147</v>
      </c>
      <c r="N111" s="44" t="s">
        <v>41</v>
      </c>
      <c r="O111" s="57" t="s">
        <v>42</v>
      </c>
      <c r="P111" s="32">
        <v>5.0</v>
      </c>
      <c r="Q111" s="57">
        <v>40.0</v>
      </c>
      <c r="R111" s="32" t="s">
        <v>495</v>
      </c>
      <c r="S111" s="62">
        <v>15.88</v>
      </c>
      <c r="T111" s="32">
        <v>5.09</v>
      </c>
      <c r="U111" s="62" t="s">
        <v>44</v>
      </c>
      <c r="V111" s="112"/>
      <c r="W111" s="2"/>
      <c r="X111" s="102" t="s">
        <v>509</v>
      </c>
      <c r="Y111" s="35" t="s">
        <v>510</v>
      </c>
      <c r="Z111" s="95">
        <v>8000.0</v>
      </c>
      <c r="AA111" s="37">
        <f t="shared" si="1"/>
        <v>6400</v>
      </c>
      <c r="AB111" s="2"/>
      <c r="AC111" s="2"/>
      <c r="AD111" s="2"/>
    </row>
    <row r="112" ht="43.5" customHeight="1">
      <c r="A112" s="39"/>
      <c r="B112" s="24"/>
      <c r="C112" s="25" t="s">
        <v>511</v>
      </c>
      <c r="D112" s="65">
        <v>3105.0</v>
      </c>
      <c r="E112" s="40" t="s">
        <v>512</v>
      </c>
      <c r="F112" s="65">
        <v>237.0</v>
      </c>
      <c r="G112" s="32" t="s">
        <v>492</v>
      </c>
      <c r="H112" s="50">
        <v>8.80966846601E12</v>
      </c>
      <c r="I112" s="50">
        <v>1.8809668466017E13</v>
      </c>
      <c r="J112" s="32" t="s">
        <v>38</v>
      </c>
      <c r="K112" s="65">
        <v>21.0</v>
      </c>
      <c r="L112" s="44" t="s">
        <v>162</v>
      </c>
      <c r="M112" s="85" t="s">
        <v>163</v>
      </c>
      <c r="N112" s="44" t="s">
        <v>41</v>
      </c>
      <c r="O112" s="85" t="s">
        <v>42</v>
      </c>
      <c r="P112" s="32">
        <v>5.0</v>
      </c>
      <c r="Q112" s="85">
        <v>40.0</v>
      </c>
      <c r="R112" s="32" t="s">
        <v>495</v>
      </c>
      <c r="S112" s="65">
        <v>15.88</v>
      </c>
      <c r="T112" s="47">
        <v>7.62</v>
      </c>
      <c r="U112" s="65" t="s">
        <v>44</v>
      </c>
      <c r="V112" s="112"/>
      <c r="W112" s="2"/>
      <c r="X112" s="102" t="s">
        <v>513</v>
      </c>
      <c r="Y112" s="35" t="s">
        <v>514</v>
      </c>
      <c r="Z112" s="95">
        <v>8000.0</v>
      </c>
      <c r="AA112" s="37">
        <f t="shared" si="1"/>
        <v>6400</v>
      </c>
      <c r="AB112" s="2"/>
      <c r="AC112" s="2"/>
      <c r="AD112" s="2"/>
    </row>
    <row r="113" ht="43.5" customHeight="1">
      <c r="A113" s="114" t="s">
        <v>515</v>
      </c>
      <c r="B113" s="115"/>
      <c r="C113" s="116" t="s">
        <v>516</v>
      </c>
      <c r="D113" s="93"/>
      <c r="E113" s="119" t="s">
        <v>517</v>
      </c>
      <c r="F113" s="93">
        <v>211.0</v>
      </c>
      <c r="G113" s="93" t="s">
        <v>515</v>
      </c>
      <c r="H113" s="28">
        <v>8.809668466027E12</v>
      </c>
      <c r="I113" s="29">
        <v>1.8809668466024E13</v>
      </c>
      <c r="J113" s="120" t="s">
        <v>38</v>
      </c>
      <c r="K113" s="93">
        <v>1.0</v>
      </c>
      <c r="L113" s="31" t="s">
        <v>518</v>
      </c>
      <c r="M113" s="121" t="s">
        <v>40</v>
      </c>
      <c r="N113" s="120" t="s">
        <v>41</v>
      </c>
      <c r="O113" s="122" t="s">
        <v>42</v>
      </c>
      <c r="P113" s="120">
        <v>10.0</v>
      </c>
      <c r="Q113" s="93">
        <v>40.0</v>
      </c>
      <c r="R113" s="26" t="s">
        <v>495</v>
      </c>
      <c r="S113" s="61">
        <v>4.699</v>
      </c>
      <c r="T113" s="32">
        <v>5.4</v>
      </c>
      <c r="U113" s="61" t="s">
        <v>44</v>
      </c>
      <c r="V113" s="123"/>
      <c r="W113" s="2"/>
      <c r="X113" s="102" t="s">
        <v>519</v>
      </c>
      <c r="Y113" s="35" t="s">
        <v>520</v>
      </c>
      <c r="Z113" s="95">
        <v>9000.0</v>
      </c>
      <c r="AA113" s="37">
        <f t="shared" si="1"/>
        <v>7200</v>
      </c>
      <c r="AB113" s="2"/>
      <c r="AC113" s="2"/>
      <c r="AD113" s="2"/>
    </row>
    <row r="114" ht="43.5" customHeight="1">
      <c r="A114" s="39"/>
      <c r="B114" s="77"/>
      <c r="C114" s="124" t="s">
        <v>521</v>
      </c>
      <c r="D114" s="66"/>
      <c r="E114" s="125" t="s">
        <v>517</v>
      </c>
      <c r="F114" s="82">
        <v>211.0</v>
      </c>
      <c r="G114" s="82" t="s">
        <v>515</v>
      </c>
      <c r="H114" s="54">
        <v>8.809668466362E12</v>
      </c>
      <c r="I114" s="54">
        <v>1.8809668466369E13</v>
      </c>
      <c r="J114" s="81" t="s">
        <v>38</v>
      </c>
      <c r="K114" s="82">
        <v>1.0</v>
      </c>
      <c r="L114" s="79" t="s">
        <v>518</v>
      </c>
      <c r="M114" s="87" t="s">
        <v>40</v>
      </c>
      <c r="N114" s="40" t="s">
        <v>389</v>
      </c>
      <c r="O114" s="32" t="s">
        <v>390</v>
      </c>
      <c r="P114" s="40">
        <v>50.0</v>
      </c>
      <c r="Q114" s="42">
        <v>10.0</v>
      </c>
      <c r="R114" s="56" t="s">
        <v>495</v>
      </c>
      <c r="S114" s="62">
        <v>4.699</v>
      </c>
      <c r="T114" s="56">
        <v>5.4</v>
      </c>
      <c r="U114" s="62" t="s">
        <v>44</v>
      </c>
      <c r="V114" s="126"/>
      <c r="W114" s="2"/>
      <c r="X114" s="58" t="s">
        <v>522</v>
      </c>
      <c r="Y114" s="59" t="s">
        <v>523</v>
      </c>
      <c r="Z114" s="95">
        <v>40000.0</v>
      </c>
      <c r="AA114" s="37">
        <f t="shared" si="1"/>
        <v>32000</v>
      </c>
      <c r="AB114" s="2"/>
      <c r="AC114" s="2"/>
      <c r="AD114" s="2"/>
    </row>
    <row r="115" ht="43.5" customHeight="1">
      <c r="A115" s="39"/>
      <c r="B115" s="24"/>
      <c r="C115" s="25" t="s">
        <v>524</v>
      </c>
      <c r="D115" s="66">
        <v>3120.0</v>
      </c>
      <c r="E115" s="40" t="s">
        <v>54</v>
      </c>
      <c r="F115" s="66">
        <v>212.0</v>
      </c>
      <c r="G115" s="82" t="s">
        <v>515</v>
      </c>
      <c r="H115" s="54">
        <v>8.809668466379E12</v>
      </c>
      <c r="I115" s="54">
        <v>1.8809668466376E13</v>
      </c>
      <c r="J115" s="32" t="s">
        <v>38</v>
      </c>
      <c r="K115" s="66">
        <v>2.0</v>
      </c>
      <c r="L115" s="42" t="s">
        <v>55</v>
      </c>
      <c r="M115" s="87" t="s">
        <v>56</v>
      </c>
      <c r="N115" s="40" t="s">
        <v>41</v>
      </c>
      <c r="O115" s="62" t="s">
        <v>42</v>
      </c>
      <c r="P115" s="40">
        <v>10.0</v>
      </c>
      <c r="Q115" s="87">
        <v>40.0</v>
      </c>
      <c r="R115" s="32" t="s">
        <v>495</v>
      </c>
      <c r="S115" s="62">
        <v>5.715</v>
      </c>
      <c r="T115" s="32">
        <v>5.41</v>
      </c>
      <c r="U115" s="62" t="s">
        <v>44</v>
      </c>
      <c r="V115" s="126"/>
      <c r="W115" s="2"/>
      <c r="X115" s="58" t="s">
        <v>525</v>
      </c>
      <c r="Y115" s="59" t="s">
        <v>526</v>
      </c>
      <c r="Z115" s="95">
        <v>9000.0</v>
      </c>
      <c r="AA115" s="37">
        <f t="shared" si="1"/>
        <v>7200</v>
      </c>
      <c r="AB115" s="2"/>
      <c r="AC115" s="2"/>
      <c r="AD115" s="2"/>
    </row>
    <row r="116" ht="43.5" customHeight="1">
      <c r="A116" s="39"/>
      <c r="B116" s="24"/>
      <c r="C116" s="25" t="s">
        <v>527</v>
      </c>
      <c r="D116" s="66">
        <v>3114.0</v>
      </c>
      <c r="E116" s="40" t="s">
        <v>481</v>
      </c>
      <c r="F116" s="66">
        <v>224.0</v>
      </c>
      <c r="G116" s="82" t="s">
        <v>515</v>
      </c>
      <c r="H116" s="54">
        <v>8.809668466386E12</v>
      </c>
      <c r="I116" s="54">
        <v>1.8809668466383E13</v>
      </c>
      <c r="J116" s="32" t="s">
        <v>38</v>
      </c>
      <c r="K116" s="62">
        <v>8.0</v>
      </c>
      <c r="L116" s="44" t="s">
        <v>122</v>
      </c>
      <c r="M116" s="57" t="s">
        <v>123</v>
      </c>
      <c r="N116" s="44" t="s">
        <v>41</v>
      </c>
      <c r="O116" s="57" t="s">
        <v>42</v>
      </c>
      <c r="P116" s="40">
        <v>10.0</v>
      </c>
      <c r="Q116" s="87">
        <v>40.0</v>
      </c>
      <c r="R116" s="32" t="s">
        <v>495</v>
      </c>
      <c r="S116" s="62">
        <v>13.792</v>
      </c>
      <c r="T116" s="32">
        <v>5.086</v>
      </c>
      <c r="U116" s="62" t="s">
        <v>44</v>
      </c>
      <c r="V116" s="126"/>
      <c r="W116" s="2"/>
      <c r="X116" s="58" t="s">
        <v>528</v>
      </c>
      <c r="Y116" s="59" t="s">
        <v>529</v>
      </c>
      <c r="Z116" s="95">
        <v>9000.0</v>
      </c>
      <c r="AA116" s="37">
        <f t="shared" si="1"/>
        <v>7200</v>
      </c>
      <c r="AB116" s="2"/>
      <c r="AC116" s="2"/>
      <c r="AD116" s="2"/>
    </row>
    <row r="117" ht="43.5" customHeight="1">
      <c r="A117" s="39"/>
      <c r="B117" s="24"/>
      <c r="C117" s="25" t="s">
        <v>530</v>
      </c>
      <c r="D117" s="82">
        <v>3107.0</v>
      </c>
      <c r="E117" s="127" t="s">
        <v>531</v>
      </c>
      <c r="F117" s="82">
        <v>228.0</v>
      </c>
      <c r="G117" s="82" t="s">
        <v>515</v>
      </c>
      <c r="H117" s="28">
        <v>8.809668466034E12</v>
      </c>
      <c r="I117" s="41">
        <v>1.8809668466031E13</v>
      </c>
      <c r="J117" s="128" t="s">
        <v>38</v>
      </c>
      <c r="K117" s="82">
        <v>16.0</v>
      </c>
      <c r="L117" s="42" t="s">
        <v>146</v>
      </c>
      <c r="M117" s="87" t="s">
        <v>147</v>
      </c>
      <c r="N117" s="128" t="s">
        <v>41</v>
      </c>
      <c r="O117" s="129" t="s">
        <v>42</v>
      </c>
      <c r="P117" s="128">
        <v>10.0</v>
      </c>
      <c r="Q117" s="82">
        <v>40.0</v>
      </c>
      <c r="R117" s="32" t="s">
        <v>495</v>
      </c>
      <c r="S117" s="62">
        <v>15.88</v>
      </c>
      <c r="T117" s="32">
        <v>5.09</v>
      </c>
      <c r="U117" s="62" t="s">
        <v>44</v>
      </c>
      <c r="V117" s="126"/>
      <c r="W117" s="2"/>
      <c r="X117" s="102" t="s">
        <v>532</v>
      </c>
      <c r="Y117" s="35" t="s">
        <v>533</v>
      </c>
      <c r="Z117" s="95">
        <v>9000.0</v>
      </c>
      <c r="AA117" s="37">
        <f t="shared" si="1"/>
        <v>7200</v>
      </c>
      <c r="AB117" s="2"/>
      <c r="AC117" s="2"/>
      <c r="AD117" s="2"/>
    </row>
    <row r="118" ht="43.5" customHeight="1">
      <c r="A118" s="70"/>
      <c r="B118" s="45"/>
      <c r="C118" s="46" t="s">
        <v>534</v>
      </c>
      <c r="D118" s="99">
        <v>3105.0</v>
      </c>
      <c r="E118" s="130" t="s">
        <v>535</v>
      </c>
      <c r="F118" s="99">
        <v>237.0</v>
      </c>
      <c r="G118" s="99" t="s">
        <v>515</v>
      </c>
      <c r="H118" s="49">
        <v>8.809668466041E12</v>
      </c>
      <c r="I118" s="50">
        <v>1.8809668466048E13</v>
      </c>
      <c r="J118" s="131" t="s">
        <v>38</v>
      </c>
      <c r="K118" s="99">
        <v>21.0</v>
      </c>
      <c r="L118" s="74" t="s">
        <v>162</v>
      </c>
      <c r="M118" s="109" t="s">
        <v>163</v>
      </c>
      <c r="N118" s="131" t="s">
        <v>41</v>
      </c>
      <c r="O118" s="132" t="s">
        <v>42</v>
      </c>
      <c r="P118" s="131">
        <v>10.0</v>
      </c>
      <c r="Q118" s="99">
        <v>40.0</v>
      </c>
      <c r="R118" s="72" t="s">
        <v>495</v>
      </c>
      <c r="S118" s="65">
        <v>15.88</v>
      </c>
      <c r="T118" s="72">
        <v>7.62</v>
      </c>
      <c r="U118" s="65" t="s">
        <v>44</v>
      </c>
      <c r="V118" s="133"/>
      <c r="W118" s="2"/>
      <c r="X118" s="102" t="s">
        <v>536</v>
      </c>
      <c r="Y118" s="35" t="s">
        <v>537</v>
      </c>
      <c r="Z118" s="95">
        <v>9000.0</v>
      </c>
      <c r="AA118" s="37">
        <f t="shared" si="1"/>
        <v>7200</v>
      </c>
      <c r="AB118" s="2"/>
      <c r="AC118" s="2"/>
      <c r="AD118" s="2"/>
    </row>
    <row r="119" ht="43.5" customHeight="1">
      <c r="A119" s="134" t="s">
        <v>538</v>
      </c>
      <c r="B119" s="63"/>
      <c r="C119" s="67" t="s">
        <v>539</v>
      </c>
      <c r="D119" s="68"/>
      <c r="E119" s="135" t="s">
        <v>540</v>
      </c>
      <c r="F119" s="56"/>
      <c r="G119" s="61" t="s">
        <v>541</v>
      </c>
      <c r="H119" s="136">
        <v>8.809668466393E12</v>
      </c>
      <c r="I119" s="136">
        <v>1.880966846639E13</v>
      </c>
      <c r="J119" s="32" t="s">
        <v>38</v>
      </c>
      <c r="K119" s="56">
        <v>1.0</v>
      </c>
      <c r="L119" s="117" t="s">
        <v>39</v>
      </c>
      <c r="M119" s="89" t="s">
        <v>40</v>
      </c>
      <c r="N119" s="117" t="s">
        <v>41</v>
      </c>
      <c r="O119" s="44" t="s">
        <v>42</v>
      </c>
      <c r="P119" s="137">
        <v>10.0</v>
      </c>
      <c r="Q119" s="138">
        <v>40.0</v>
      </c>
      <c r="R119" s="56" t="s">
        <v>495</v>
      </c>
      <c r="S119" s="61" t="s">
        <v>542</v>
      </c>
      <c r="T119" s="61" t="s">
        <v>542</v>
      </c>
      <c r="U119" s="32" t="s">
        <v>44</v>
      </c>
      <c r="V119" s="139"/>
      <c r="W119" s="2"/>
      <c r="X119" s="58" t="s">
        <v>543</v>
      </c>
      <c r="Y119" s="59" t="s">
        <v>544</v>
      </c>
      <c r="Z119" s="95">
        <v>5000.0</v>
      </c>
      <c r="AA119" s="37">
        <f t="shared" si="1"/>
        <v>4000</v>
      </c>
      <c r="AB119" s="2"/>
      <c r="AC119" s="2"/>
      <c r="AD119" s="2"/>
    </row>
    <row r="120" ht="43.5" customHeight="1">
      <c r="B120" s="63"/>
      <c r="C120" s="67" t="s">
        <v>545</v>
      </c>
      <c r="D120" s="140"/>
      <c r="E120" s="66" t="s">
        <v>546</v>
      </c>
      <c r="F120" s="56"/>
      <c r="G120" s="68" t="s">
        <v>541</v>
      </c>
      <c r="H120" s="136">
        <v>8.809668466409E12</v>
      </c>
      <c r="I120" s="136">
        <v>1.8809668466406E13</v>
      </c>
      <c r="J120" s="32" t="s">
        <v>38</v>
      </c>
      <c r="K120" s="56">
        <v>9.0</v>
      </c>
      <c r="L120" s="57" t="s">
        <v>547</v>
      </c>
      <c r="M120" s="89" t="s">
        <v>547</v>
      </c>
      <c r="N120" s="57" t="s">
        <v>41</v>
      </c>
      <c r="O120" s="44" t="s">
        <v>42</v>
      </c>
      <c r="P120" s="137">
        <v>10.0</v>
      </c>
      <c r="Q120" s="138">
        <v>40.0</v>
      </c>
      <c r="R120" s="56" t="s">
        <v>495</v>
      </c>
      <c r="S120" s="62" t="s">
        <v>542</v>
      </c>
      <c r="T120" s="62" t="s">
        <v>542</v>
      </c>
      <c r="U120" s="56" t="s">
        <v>44</v>
      </c>
      <c r="V120" s="141"/>
      <c r="W120" s="2"/>
      <c r="X120" s="58" t="s">
        <v>548</v>
      </c>
      <c r="Y120" s="59" t="s">
        <v>549</v>
      </c>
      <c r="Z120" s="95">
        <v>5000.0</v>
      </c>
      <c r="AA120" s="37">
        <f t="shared" si="1"/>
        <v>4000</v>
      </c>
      <c r="AB120" s="2"/>
      <c r="AC120" s="2"/>
      <c r="AD120" s="2"/>
    </row>
    <row r="121" ht="43.5" customHeight="1">
      <c r="B121" s="63"/>
      <c r="C121" s="67" t="s">
        <v>550</v>
      </c>
      <c r="D121" s="68"/>
      <c r="E121" s="66" t="s">
        <v>551</v>
      </c>
      <c r="F121" s="56"/>
      <c r="G121" s="68" t="s">
        <v>541</v>
      </c>
      <c r="H121" s="136">
        <v>8.809668466416E12</v>
      </c>
      <c r="I121" s="136">
        <v>1.8809668466413E13</v>
      </c>
      <c r="J121" s="32" t="s">
        <v>38</v>
      </c>
      <c r="K121" s="56">
        <v>16.0</v>
      </c>
      <c r="L121" s="57" t="s">
        <v>552</v>
      </c>
      <c r="M121" s="89" t="s">
        <v>552</v>
      </c>
      <c r="N121" s="57" t="s">
        <v>41</v>
      </c>
      <c r="O121" s="44" t="s">
        <v>42</v>
      </c>
      <c r="P121" s="137">
        <v>10.0</v>
      </c>
      <c r="Q121" s="138">
        <v>40.0</v>
      </c>
      <c r="R121" s="56" t="s">
        <v>495</v>
      </c>
      <c r="S121" s="62" t="s">
        <v>542</v>
      </c>
      <c r="T121" s="62" t="s">
        <v>542</v>
      </c>
      <c r="U121" s="56" t="s">
        <v>44</v>
      </c>
      <c r="V121" s="141"/>
      <c r="W121" s="2"/>
      <c r="X121" s="58" t="s">
        <v>553</v>
      </c>
      <c r="Y121" s="59" t="s">
        <v>554</v>
      </c>
      <c r="Z121" s="95">
        <v>5000.0</v>
      </c>
      <c r="AA121" s="37">
        <f t="shared" si="1"/>
        <v>4000</v>
      </c>
      <c r="AB121" s="2"/>
      <c r="AC121" s="2"/>
      <c r="AD121" s="2"/>
    </row>
    <row r="122" ht="43.5" customHeight="1">
      <c r="A122" s="142"/>
      <c r="B122" s="143"/>
      <c r="C122" s="144" t="s">
        <v>555</v>
      </c>
      <c r="D122" s="145"/>
      <c r="E122" s="84" t="s">
        <v>556</v>
      </c>
      <c r="F122" s="146"/>
      <c r="G122" s="65" t="s">
        <v>541</v>
      </c>
      <c r="H122" s="107">
        <v>8.809668466423E12</v>
      </c>
      <c r="I122" s="107">
        <v>1.880966846642E13</v>
      </c>
      <c r="J122" s="47" t="s">
        <v>38</v>
      </c>
      <c r="K122" s="146">
        <v>25.0</v>
      </c>
      <c r="L122" s="85" t="s">
        <v>557</v>
      </c>
      <c r="M122" s="147" t="s">
        <v>557</v>
      </c>
      <c r="N122" s="85" t="s">
        <v>41</v>
      </c>
      <c r="O122" s="51" t="s">
        <v>42</v>
      </c>
      <c r="P122" s="148">
        <v>10.0</v>
      </c>
      <c r="Q122" s="149">
        <v>40.0</v>
      </c>
      <c r="R122" s="146" t="s">
        <v>495</v>
      </c>
      <c r="S122" s="65" t="s">
        <v>542</v>
      </c>
      <c r="T122" s="65" t="s">
        <v>542</v>
      </c>
      <c r="U122" s="146" t="s">
        <v>44</v>
      </c>
      <c r="V122" s="150"/>
      <c r="W122" s="2"/>
      <c r="X122" s="58" t="s">
        <v>558</v>
      </c>
      <c r="Y122" s="59" t="s">
        <v>559</v>
      </c>
      <c r="Z122" s="95">
        <v>5000.0</v>
      </c>
      <c r="AA122" s="37">
        <f t="shared" si="1"/>
        <v>4000</v>
      </c>
      <c r="AB122" s="2"/>
      <c r="AC122" s="2"/>
      <c r="AD122" s="2"/>
    </row>
    <row r="123" ht="43.5" customHeight="1">
      <c r="A123" s="151" t="s">
        <v>560</v>
      </c>
      <c r="B123" s="24"/>
      <c r="C123" s="25" t="s">
        <v>561</v>
      </c>
      <c r="D123" s="32"/>
      <c r="E123" s="40" t="s">
        <v>562</v>
      </c>
      <c r="F123" s="32">
        <v>211.0</v>
      </c>
      <c r="G123" s="32" t="s">
        <v>563</v>
      </c>
      <c r="H123" s="28">
        <v>8.809668466058E12</v>
      </c>
      <c r="I123" s="29">
        <v>1.8809668466055E13</v>
      </c>
      <c r="J123" s="32" t="s">
        <v>38</v>
      </c>
      <c r="K123" s="32">
        <v>1.0</v>
      </c>
      <c r="L123" s="44" t="s">
        <v>39</v>
      </c>
      <c r="M123" s="44" t="s">
        <v>40</v>
      </c>
      <c r="N123" s="44" t="s">
        <v>41</v>
      </c>
      <c r="O123" s="44" t="s">
        <v>42</v>
      </c>
      <c r="P123" s="32">
        <v>10.0</v>
      </c>
      <c r="Q123" s="42">
        <v>40.0</v>
      </c>
      <c r="R123" s="32" t="s">
        <v>564</v>
      </c>
      <c r="S123" s="32">
        <v>4.699</v>
      </c>
      <c r="T123" s="32">
        <v>5.4</v>
      </c>
      <c r="U123" s="32" t="s">
        <v>44</v>
      </c>
      <c r="V123" s="43"/>
      <c r="W123" s="2"/>
      <c r="X123" s="102" t="s">
        <v>565</v>
      </c>
      <c r="Y123" s="35" t="s">
        <v>566</v>
      </c>
      <c r="Z123" s="95">
        <v>8000.0</v>
      </c>
      <c r="AA123" s="37">
        <f t="shared" si="1"/>
        <v>6400</v>
      </c>
      <c r="AB123" s="2"/>
      <c r="AC123" s="2"/>
      <c r="AD123" s="2"/>
    </row>
    <row r="124" ht="43.5" customHeight="1">
      <c r="A124" s="39"/>
      <c r="B124" s="24"/>
      <c r="C124" s="25" t="s">
        <v>567</v>
      </c>
      <c r="D124" s="32"/>
      <c r="E124" s="40" t="s">
        <v>568</v>
      </c>
      <c r="F124" s="32">
        <v>211.0</v>
      </c>
      <c r="G124" s="32" t="s">
        <v>569</v>
      </c>
      <c r="H124" s="28">
        <v>8.809668466065E12</v>
      </c>
      <c r="I124" s="41">
        <v>1.8809668466062E13</v>
      </c>
      <c r="J124" s="32" t="s">
        <v>38</v>
      </c>
      <c r="K124" s="32">
        <v>1.0</v>
      </c>
      <c r="L124" s="44" t="s">
        <v>39</v>
      </c>
      <c r="M124" s="44" t="s">
        <v>40</v>
      </c>
      <c r="N124" s="44" t="s">
        <v>41</v>
      </c>
      <c r="O124" s="44" t="s">
        <v>42</v>
      </c>
      <c r="P124" s="32">
        <v>10.0</v>
      </c>
      <c r="Q124" s="42">
        <v>40.0</v>
      </c>
      <c r="R124" s="32" t="s">
        <v>570</v>
      </c>
      <c r="S124" s="32">
        <v>4.699</v>
      </c>
      <c r="T124" s="32">
        <v>5.4</v>
      </c>
      <c r="U124" s="32" t="s">
        <v>44</v>
      </c>
      <c r="V124" s="43"/>
      <c r="W124" s="2"/>
      <c r="X124" s="102" t="s">
        <v>571</v>
      </c>
      <c r="Y124" s="35" t="s">
        <v>572</v>
      </c>
      <c r="Z124" s="95">
        <v>8000.0</v>
      </c>
      <c r="AA124" s="37">
        <f t="shared" si="1"/>
        <v>6400</v>
      </c>
      <c r="AB124" s="2"/>
      <c r="AC124" s="2"/>
      <c r="AD124" s="2"/>
    </row>
    <row r="125" ht="43.5" customHeight="1">
      <c r="A125" s="39"/>
      <c r="B125" s="45"/>
      <c r="C125" s="46" t="s">
        <v>573</v>
      </c>
      <c r="D125" s="47"/>
      <c r="E125" s="48" t="s">
        <v>574</v>
      </c>
      <c r="F125" s="47">
        <v>211.0</v>
      </c>
      <c r="G125" s="47" t="s">
        <v>575</v>
      </c>
      <c r="H125" s="28">
        <v>8.809668466072E12</v>
      </c>
      <c r="I125" s="50">
        <v>1.8809668466079E13</v>
      </c>
      <c r="J125" s="47" t="s">
        <v>38</v>
      </c>
      <c r="K125" s="47">
        <v>1.0</v>
      </c>
      <c r="L125" s="51" t="s">
        <v>39</v>
      </c>
      <c r="M125" s="51" t="s">
        <v>40</v>
      </c>
      <c r="N125" s="51" t="s">
        <v>41</v>
      </c>
      <c r="O125" s="51" t="s">
        <v>42</v>
      </c>
      <c r="P125" s="47">
        <v>10.0</v>
      </c>
      <c r="Q125" s="52">
        <v>40.0</v>
      </c>
      <c r="R125" s="47" t="s">
        <v>576</v>
      </c>
      <c r="S125" s="47">
        <v>4.699</v>
      </c>
      <c r="T125" s="32">
        <v>5.4</v>
      </c>
      <c r="U125" s="32" t="s">
        <v>44</v>
      </c>
      <c r="V125" s="43"/>
      <c r="W125" s="2"/>
      <c r="X125" s="102" t="s">
        <v>577</v>
      </c>
      <c r="Y125" s="35" t="s">
        <v>578</v>
      </c>
      <c r="Z125" s="95">
        <v>8000.0</v>
      </c>
      <c r="AA125" s="37">
        <f t="shared" si="1"/>
        <v>6400</v>
      </c>
      <c r="AB125" s="2"/>
      <c r="AC125" s="2"/>
      <c r="AD125" s="2"/>
    </row>
    <row r="126" ht="43.5" customHeight="1">
      <c r="A126" s="152" t="s">
        <v>579</v>
      </c>
      <c r="B126" s="24"/>
      <c r="C126" s="25" t="s">
        <v>580</v>
      </c>
      <c r="D126" s="40"/>
      <c r="E126" s="40" t="s">
        <v>581</v>
      </c>
      <c r="F126" s="40">
        <v>211.0</v>
      </c>
      <c r="G126" s="40" t="s">
        <v>582</v>
      </c>
      <c r="H126" s="29">
        <v>8.809668466089E12</v>
      </c>
      <c r="I126" s="29">
        <v>1.8809668466086E13</v>
      </c>
      <c r="J126" s="32" t="s">
        <v>38</v>
      </c>
      <c r="K126" s="40">
        <v>1.0</v>
      </c>
      <c r="L126" s="42" t="s">
        <v>39</v>
      </c>
      <c r="M126" s="42" t="s">
        <v>40</v>
      </c>
      <c r="N126" s="44" t="s">
        <v>41</v>
      </c>
      <c r="O126" s="44" t="s">
        <v>42</v>
      </c>
      <c r="P126" s="40">
        <v>20.0</v>
      </c>
      <c r="Q126" s="42">
        <v>25.0</v>
      </c>
      <c r="R126" s="32" t="s">
        <v>583</v>
      </c>
      <c r="S126" s="32">
        <v>4.699</v>
      </c>
      <c r="T126" s="26">
        <v>5.4</v>
      </c>
      <c r="U126" s="26" t="s">
        <v>44</v>
      </c>
      <c r="V126" s="33"/>
      <c r="W126" s="2"/>
      <c r="X126" s="102" t="s">
        <v>584</v>
      </c>
      <c r="Y126" s="35" t="s">
        <v>585</v>
      </c>
      <c r="Z126" s="95">
        <v>8000.0</v>
      </c>
      <c r="AA126" s="37">
        <f t="shared" si="1"/>
        <v>6400</v>
      </c>
      <c r="AB126" s="2"/>
      <c r="AC126" s="2"/>
      <c r="AD126" s="2"/>
    </row>
    <row r="127" ht="43.5" customHeight="1">
      <c r="A127" s="39"/>
      <c r="B127" s="24"/>
      <c r="C127" s="25" t="s">
        <v>586</v>
      </c>
      <c r="D127" s="40"/>
      <c r="E127" s="40" t="s">
        <v>587</v>
      </c>
      <c r="F127" s="40">
        <v>211.0</v>
      </c>
      <c r="G127" s="40" t="s">
        <v>588</v>
      </c>
      <c r="H127" s="41">
        <v>8.809668466096E12</v>
      </c>
      <c r="I127" s="41">
        <v>1.8809668466093E13</v>
      </c>
      <c r="J127" s="32" t="s">
        <v>38</v>
      </c>
      <c r="K127" s="40">
        <v>1.0</v>
      </c>
      <c r="L127" s="42" t="s">
        <v>39</v>
      </c>
      <c r="M127" s="42" t="s">
        <v>40</v>
      </c>
      <c r="N127" s="44" t="s">
        <v>41</v>
      </c>
      <c r="O127" s="44" t="s">
        <v>42</v>
      </c>
      <c r="P127" s="40">
        <v>20.0</v>
      </c>
      <c r="Q127" s="42">
        <v>25.0</v>
      </c>
      <c r="R127" s="32" t="s">
        <v>589</v>
      </c>
      <c r="S127" s="32">
        <v>4.699</v>
      </c>
      <c r="T127" s="32">
        <v>5.4</v>
      </c>
      <c r="U127" s="32" t="s">
        <v>44</v>
      </c>
      <c r="V127" s="43"/>
      <c r="W127" s="2"/>
      <c r="X127" s="102" t="s">
        <v>590</v>
      </c>
      <c r="Y127" s="35" t="s">
        <v>591</v>
      </c>
      <c r="Z127" s="95">
        <v>8000.0</v>
      </c>
      <c r="AA127" s="37">
        <f t="shared" si="1"/>
        <v>6400</v>
      </c>
      <c r="AB127" s="2"/>
      <c r="AC127" s="2"/>
      <c r="AD127" s="2"/>
    </row>
    <row r="128" ht="43.5" customHeight="1">
      <c r="A128" s="39"/>
      <c r="B128" s="24"/>
      <c r="C128" s="25" t="s">
        <v>592</v>
      </c>
      <c r="D128" s="40"/>
      <c r="E128" s="40" t="s">
        <v>593</v>
      </c>
      <c r="F128" s="40">
        <v>211.0</v>
      </c>
      <c r="G128" s="40" t="s">
        <v>594</v>
      </c>
      <c r="H128" s="41">
        <v>8.809668466102E12</v>
      </c>
      <c r="I128" s="41">
        <v>1.8809668466109E13</v>
      </c>
      <c r="J128" s="32" t="s">
        <v>38</v>
      </c>
      <c r="K128" s="40">
        <v>1.0</v>
      </c>
      <c r="L128" s="42" t="s">
        <v>39</v>
      </c>
      <c r="M128" s="42" t="s">
        <v>40</v>
      </c>
      <c r="N128" s="44" t="s">
        <v>41</v>
      </c>
      <c r="O128" s="44" t="s">
        <v>42</v>
      </c>
      <c r="P128" s="40">
        <v>20.0</v>
      </c>
      <c r="Q128" s="42">
        <v>25.0</v>
      </c>
      <c r="R128" s="32" t="s">
        <v>595</v>
      </c>
      <c r="S128" s="32">
        <v>4.699</v>
      </c>
      <c r="T128" s="32">
        <v>5.4</v>
      </c>
      <c r="U128" s="32" t="s">
        <v>44</v>
      </c>
      <c r="V128" s="43"/>
      <c r="W128" s="2"/>
      <c r="X128" s="102" t="s">
        <v>596</v>
      </c>
      <c r="Y128" s="35" t="s">
        <v>597</v>
      </c>
      <c r="Z128" s="95">
        <v>8000.0</v>
      </c>
      <c r="AA128" s="37">
        <f t="shared" si="1"/>
        <v>6400</v>
      </c>
      <c r="AB128" s="2"/>
      <c r="AC128" s="2"/>
      <c r="AD128" s="2"/>
    </row>
    <row r="129" ht="43.5" customHeight="1">
      <c r="A129" s="39"/>
      <c r="B129" s="45"/>
      <c r="C129" s="25" t="s">
        <v>598</v>
      </c>
      <c r="D129" s="40"/>
      <c r="E129" s="40" t="s">
        <v>599</v>
      </c>
      <c r="F129" s="40">
        <v>211.0</v>
      </c>
      <c r="G129" s="40" t="s">
        <v>600</v>
      </c>
      <c r="H129" s="50">
        <v>8.809668466119E12</v>
      </c>
      <c r="I129" s="50">
        <v>1.8809668466116E13</v>
      </c>
      <c r="J129" s="32" t="s">
        <v>38</v>
      </c>
      <c r="K129" s="40">
        <v>1.0</v>
      </c>
      <c r="L129" s="42" t="s">
        <v>39</v>
      </c>
      <c r="M129" s="42" t="s">
        <v>40</v>
      </c>
      <c r="N129" s="44" t="s">
        <v>41</v>
      </c>
      <c r="O129" s="44" t="s">
        <v>42</v>
      </c>
      <c r="P129" s="40">
        <v>20.0</v>
      </c>
      <c r="Q129" s="42">
        <v>25.0</v>
      </c>
      <c r="R129" s="32" t="s">
        <v>601</v>
      </c>
      <c r="S129" s="32">
        <v>4.699</v>
      </c>
      <c r="T129" s="47">
        <v>5.4</v>
      </c>
      <c r="U129" s="47" t="s">
        <v>44</v>
      </c>
      <c r="V129" s="53"/>
      <c r="W129" s="2"/>
      <c r="X129" s="102" t="s">
        <v>602</v>
      </c>
      <c r="Y129" s="35" t="s">
        <v>603</v>
      </c>
      <c r="Z129" s="95">
        <v>8000.0</v>
      </c>
      <c r="AA129" s="37">
        <f t="shared" si="1"/>
        <v>6400</v>
      </c>
      <c r="AB129" s="2"/>
      <c r="AC129" s="2"/>
      <c r="AD129" s="2"/>
    </row>
    <row r="130" ht="43.5" customHeight="1">
      <c r="A130" s="153" t="s">
        <v>604</v>
      </c>
      <c r="B130" s="77"/>
      <c r="C130" s="60" t="s">
        <v>605</v>
      </c>
      <c r="D130" s="154"/>
      <c r="E130" s="135" t="s">
        <v>606</v>
      </c>
      <c r="F130" s="154">
        <v>211.0</v>
      </c>
      <c r="G130" s="61" t="s">
        <v>607</v>
      </c>
      <c r="H130" s="88">
        <v>8.809668466126E12</v>
      </c>
      <c r="I130" s="29">
        <v>1.8809668466123E13</v>
      </c>
      <c r="J130" s="61" t="s">
        <v>38</v>
      </c>
      <c r="K130" s="155">
        <v>1.0</v>
      </c>
      <c r="L130" s="117" t="s">
        <v>39</v>
      </c>
      <c r="M130" s="117" t="s">
        <v>40</v>
      </c>
      <c r="N130" s="121" t="s">
        <v>41</v>
      </c>
      <c r="O130" s="117" t="s">
        <v>42</v>
      </c>
      <c r="P130" s="61">
        <v>10.0</v>
      </c>
      <c r="Q130" s="121">
        <v>40.0</v>
      </c>
      <c r="R130" s="61" t="s">
        <v>607</v>
      </c>
      <c r="S130" s="61">
        <v>4.699</v>
      </c>
      <c r="T130" s="61">
        <v>5.4</v>
      </c>
      <c r="U130" s="32" t="s">
        <v>44</v>
      </c>
      <c r="V130" s="43"/>
      <c r="W130" s="2"/>
      <c r="X130" s="102" t="s">
        <v>608</v>
      </c>
      <c r="Y130" s="35" t="s">
        <v>609</v>
      </c>
      <c r="Z130" s="95">
        <v>6000.0</v>
      </c>
      <c r="AA130" s="37">
        <f t="shared" si="1"/>
        <v>4800</v>
      </c>
      <c r="AB130" s="2"/>
      <c r="AC130" s="2"/>
      <c r="AD130" s="2"/>
    </row>
    <row r="131" ht="43.5" customHeight="1">
      <c r="A131" s="19"/>
      <c r="B131" s="58"/>
      <c r="C131" s="25" t="s">
        <v>610</v>
      </c>
      <c r="D131" s="156"/>
      <c r="E131" s="66" t="s">
        <v>606</v>
      </c>
      <c r="F131" s="56">
        <v>211.0</v>
      </c>
      <c r="G131" s="62" t="s">
        <v>607</v>
      </c>
      <c r="H131" s="54">
        <v>8.80966846643E12</v>
      </c>
      <c r="I131" s="55">
        <v>1.8809668466437E13</v>
      </c>
      <c r="J131" s="62" t="s">
        <v>38</v>
      </c>
      <c r="K131" s="56">
        <v>1.0</v>
      </c>
      <c r="L131" s="57" t="s">
        <v>39</v>
      </c>
      <c r="M131" s="89" t="s">
        <v>40</v>
      </c>
      <c r="N131" s="57" t="s">
        <v>404</v>
      </c>
      <c r="O131" s="44" t="s">
        <v>405</v>
      </c>
      <c r="P131" s="32">
        <v>100.0</v>
      </c>
      <c r="Q131" s="42">
        <v>10.0</v>
      </c>
      <c r="R131" s="62" t="s">
        <v>607</v>
      </c>
      <c r="S131" s="56">
        <v>4.699</v>
      </c>
      <c r="T131" s="62">
        <v>5.4</v>
      </c>
      <c r="U131" s="32" t="s">
        <v>44</v>
      </c>
      <c r="V131" s="157"/>
      <c r="W131" s="2"/>
      <c r="X131" s="58" t="s">
        <v>611</v>
      </c>
      <c r="Y131" s="59" t="s">
        <v>612</v>
      </c>
      <c r="Z131" s="95">
        <v>42000.0</v>
      </c>
      <c r="AA131" s="37">
        <f t="shared" si="1"/>
        <v>33600</v>
      </c>
      <c r="AB131" s="158"/>
      <c r="AC131" s="158"/>
      <c r="AD131" s="158"/>
    </row>
    <row r="132" ht="43.5" customHeight="1">
      <c r="A132" s="19"/>
      <c r="B132" s="58"/>
      <c r="C132" s="159" t="s">
        <v>613</v>
      </c>
      <c r="D132" s="137">
        <v>3120.0</v>
      </c>
      <c r="E132" s="160" t="s">
        <v>614</v>
      </c>
      <c r="F132" s="137">
        <v>212.0</v>
      </c>
      <c r="G132" s="161" t="s">
        <v>607</v>
      </c>
      <c r="H132" s="88">
        <v>8.809668466133E12</v>
      </c>
      <c r="I132" s="41">
        <v>1.880966846613E13</v>
      </c>
      <c r="J132" s="162" t="s">
        <v>38</v>
      </c>
      <c r="K132" s="163">
        <v>2.0</v>
      </c>
      <c r="L132" s="161" t="s">
        <v>55</v>
      </c>
      <c r="M132" s="163" t="s">
        <v>56</v>
      </c>
      <c r="N132" s="57" t="s">
        <v>41</v>
      </c>
      <c r="O132" s="44" t="s">
        <v>390</v>
      </c>
      <c r="P132" s="161">
        <v>10.0</v>
      </c>
      <c r="Q132" s="138">
        <v>40.0</v>
      </c>
      <c r="R132" s="161" t="s">
        <v>607</v>
      </c>
      <c r="S132" s="163">
        <v>5.715</v>
      </c>
      <c r="T132" s="162">
        <v>5.41</v>
      </c>
      <c r="U132" s="163" t="s">
        <v>44</v>
      </c>
      <c r="V132" s="157"/>
      <c r="W132" s="2"/>
      <c r="X132" s="102" t="s">
        <v>615</v>
      </c>
      <c r="Y132" s="35" t="s">
        <v>616</v>
      </c>
      <c r="Z132" s="95">
        <v>6000.0</v>
      </c>
      <c r="AA132" s="37">
        <f t="shared" si="1"/>
        <v>4800</v>
      </c>
      <c r="AB132" s="2"/>
      <c r="AC132" s="2"/>
      <c r="AD132" s="2"/>
    </row>
    <row r="133" ht="43.5" customHeight="1">
      <c r="A133" s="19"/>
      <c r="B133" s="77"/>
      <c r="C133" s="25" t="s">
        <v>617</v>
      </c>
      <c r="D133" s="32">
        <v>3108.0</v>
      </c>
      <c r="E133" s="66" t="s">
        <v>618</v>
      </c>
      <c r="F133" s="32">
        <v>227.0</v>
      </c>
      <c r="G133" s="62" t="s">
        <v>607</v>
      </c>
      <c r="H133" s="28">
        <v>8.80966846614E12</v>
      </c>
      <c r="I133" s="41">
        <v>1.8809668466147E13</v>
      </c>
      <c r="J133" s="62" t="s">
        <v>38</v>
      </c>
      <c r="K133" s="32">
        <v>14.0</v>
      </c>
      <c r="L133" s="57" t="s">
        <v>140</v>
      </c>
      <c r="M133" s="44" t="s">
        <v>141</v>
      </c>
      <c r="N133" s="57" t="s">
        <v>41</v>
      </c>
      <c r="O133" s="44" t="s">
        <v>42</v>
      </c>
      <c r="P133" s="161">
        <v>10.0</v>
      </c>
      <c r="Q133" s="138">
        <v>40.0</v>
      </c>
      <c r="R133" s="62" t="s">
        <v>607</v>
      </c>
      <c r="S133" s="32">
        <v>15.875</v>
      </c>
      <c r="T133" s="62">
        <v>5.086</v>
      </c>
      <c r="U133" s="32" t="s">
        <v>44</v>
      </c>
      <c r="V133" s="164"/>
      <c r="W133" s="2"/>
      <c r="X133" s="102" t="s">
        <v>619</v>
      </c>
      <c r="Y133" s="35" t="s">
        <v>620</v>
      </c>
      <c r="Z133" s="165">
        <v>6000.0</v>
      </c>
      <c r="AA133" s="37">
        <f t="shared" si="1"/>
        <v>4800</v>
      </c>
      <c r="AB133" s="2"/>
      <c r="AC133" s="2"/>
      <c r="AD133" s="2"/>
    </row>
    <row r="134" ht="43.5" customHeight="1">
      <c r="A134" s="166"/>
      <c r="B134" s="167"/>
      <c r="C134" s="46" t="s">
        <v>621</v>
      </c>
      <c r="D134" s="47">
        <v>3105.0</v>
      </c>
      <c r="E134" s="84" t="s">
        <v>622</v>
      </c>
      <c r="F134" s="47">
        <v>237.0</v>
      </c>
      <c r="G134" s="65" t="s">
        <v>607</v>
      </c>
      <c r="H134" s="49">
        <v>8.809668466157E12</v>
      </c>
      <c r="I134" s="50">
        <v>1.8809668466154E13</v>
      </c>
      <c r="J134" s="65" t="s">
        <v>38</v>
      </c>
      <c r="K134" s="47">
        <v>21.0</v>
      </c>
      <c r="L134" s="85" t="s">
        <v>162</v>
      </c>
      <c r="M134" s="51" t="s">
        <v>163</v>
      </c>
      <c r="N134" s="85" t="s">
        <v>41</v>
      </c>
      <c r="O134" s="51" t="s">
        <v>42</v>
      </c>
      <c r="P134" s="168">
        <v>10.0</v>
      </c>
      <c r="Q134" s="149">
        <v>40.0</v>
      </c>
      <c r="R134" s="65" t="s">
        <v>607</v>
      </c>
      <c r="S134" s="47">
        <v>15.875</v>
      </c>
      <c r="T134" s="65">
        <v>7.62</v>
      </c>
      <c r="U134" s="47" t="s">
        <v>44</v>
      </c>
      <c r="V134" s="169"/>
      <c r="W134" s="2"/>
      <c r="X134" s="170" t="s">
        <v>623</v>
      </c>
      <c r="Y134" s="171" t="s">
        <v>624</v>
      </c>
      <c r="Z134" s="172">
        <v>6000.0</v>
      </c>
      <c r="AA134" s="173">
        <f t="shared" si="1"/>
        <v>4800</v>
      </c>
      <c r="AB134" s="2"/>
      <c r="AC134" s="2"/>
      <c r="AD134" s="2"/>
    </row>
    <row r="135">
      <c r="A135" s="2"/>
      <c r="B135" s="174"/>
      <c r="C135" s="174" t="s">
        <v>625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175"/>
      <c r="Y135" s="175"/>
      <c r="Z135" s="2"/>
      <c r="AA135" s="2"/>
      <c r="AB135" s="2"/>
      <c r="AC135" s="2"/>
      <c r="A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175"/>
      <c r="Y136" s="175"/>
      <c r="Z136" s="2"/>
      <c r="AA136" s="2"/>
      <c r="AB136" s="2"/>
      <c r="AC136" s="2"/>
      <c r="A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38"/>
      <c r="W137" s="2"/>
      <c r="X137" s="175"/>
      <c r="Y137" s="175"/>
      <c r="Z137" s="38"/>
      <c r="AA137" s="2"/>
      <c r="AB137" s="2"/>
      <c r="AC137" s="2"/>
      <c r="A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38"/>
      <c r="W138" s="2"/>
      <c r="X138" s="175"/>
      <c r="Y138" s="175"/>
      <c r="Z138" s="2"/>
      <c r="AA138" s="2"/>
      <c r="AB138" s="2"/>
      <c r="AC138" s="2"/>
      <c r="A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175"/>
      <c r="Y139" s="175"/>
      <c r="Z139" s="2"/>
      <c r="AA139" s="2"/>
      <c r="AB139" s="2"/>
      <c r="AC139" s="2"/>
      <c r="A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175"/>
      <c r="Y140" s="175"/>
      <c r="Z140" s="2"/>
      <c r="AA140" s="2"/>
      <c r="AB140" s="2"/>
      <c r="AC140" s="2"/>
      <c r="A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175"/>
      <c r="Y141" s="175"/>
      <c r="Z141" s="2"/>
      <c r="AA141" s="2"/>
      <c r="AB141" s="2"/>
      <c r="AC141" s="2"/>
      <c r="A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175"/>
      <c r="Y142" s="175"/>
      <c r="Z142" s="2"/>
      <c r="AA142" s="2"/>
      <c r="AB142" s="2"/>
      <c r="AC142" s="2"/>
      <c r="A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175"/>
      <c r="Y143" s="175"/>
      <c r="Z143" s="2"/>
      <c r="AA143" s="2"/>
      <c r="AB143" s="2"/>
      <c r="AC143" s="2"/>
      <c r="A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175"/>
      <c r="Y144" s="175"/>
      <c r="Z144" s="2"/>
      <c r="AA144" s="2"/>
      <c r="AB144" s="2"/>
      <c r="AC144" s="2"/>
      <c r="A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175"/>
      <c r="Y145" s="175"/>
      <c r="Z145" s="2"/>
      <c r="AA145" s="2"/>
      <c r="AB145" s="2"/>
      <c r="AC145" s="2"/>
      <c r="A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175"/>
      <c r="Y146" s="175"/>
      <c r="Z146" s="2"/>
      <c r="AA146" s="2"/>
      <c r="AB146" s="2"/>
      <c r="AC146" s="2"/>
      <c r="A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175"/>
      <c r="Y147" s="175"/>
      <c r="Z147" s="2"/>
      <c r="AA147" s="2"/>
      <c r="AB147" s="2"/>
      <c r="AC147" s="2"/>
      <c r="A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175"/>
      <c r="Y148" s="175"/>
      <c r="Z148" s="2"/>
      <c r="AA148" s="2"/>
      <c r="AB148" s="2"/>
      <c r="AC148" s="2"/>
      <c r="A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175"/>
      <c r="Y149" s="175"/>
      <c r="Z149" s="2"/>
      <c r="AA149" s="2"/>
      <c r="AB149" s="2"/>
      <c r="AC149" s="2"/>
      <c r="A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175"/>
      <c r="Y150" s="175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175"/>
      <c r="Y151" s="175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175"/>
      <c r="Y152" s="175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175"/>
      <c r="Y153" s="175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175"/>
      <c r="Y154" s="175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175"/>
      <c r="Y155" s="175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175"/>
      <c r="Y156" s="175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175"/>
      <c r="Y157" s="175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175"/>
      <c r="Y158" s="175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175"/>
      <c r="Y159" s="175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175"/>
      <c r="Y160" s="175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175"/>
      <c r="Y161" s="175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175"/>
      <c r="Y162" s="175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175"/>
      <c r="Y163" s="175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175"/>
      <c r="Y164" s="175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175"/>
      <c r="Y165" s="175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175"/>
      <c r="Y166" s="175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175"/>
      <c r="Y167" s="175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175"/>
      <c r="Y168" s="175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175"/>
      <c r="Y169" s="175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175"/>
      <c r="Y170" s="175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175"/>
      <c r="Y171" s="175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175"/>
      <c r="Y172" s="175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175"/>
      <c r="Y173" s="175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175"/>
      <c r="Y174" s="175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175"/>
      <c r="Y175" s="175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175"/>
      <c r="Y176" s="175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175"/>
      <c r="Y177" s="175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175"/>
      <c r="Y178" s="175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175"/>
      <c r="Y179" s="175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175"/>
      <c r="Y180" s="175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175"/>
      <c r="Y181" s="175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175"/>
      <c r="Y182" s="175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175"/>
      <c r="Y183" s="175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175"/>
      <c r="Y184" s="175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175"/>
      <c r="Y185" s="175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175"/>
      <c r="Y186" s="175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175"/>
      <c r="Y187" s="175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175"/>
      <c r="Y188" s="175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175"/>
      <c r="Y189" s="175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175"/>
      <c r="Y190" s="175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175"/>
      <c r="Y191" s="175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175"/>
      <c r="Y192" s="175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175"/>
      <c r="Y193" s="175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175"/>
      <c r="Y194" s="175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175"/>
      <c r="Y195" s="175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175"/>
      <c r="Y196" s="175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175"/>
      <c r="Y197" s="175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175"/>
      <c r="Y198" s="175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175"/>
      <c r="Y199" s="175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175"/>
      <c r="Y200" s="175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175"/>
      <c r="Y201" s="175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175"/>
      <c r="Y202" s="175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175"/>
      <c r="Y203" s="175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175"/>
      <c r="Y204" s="175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175"/>
      <c r="Y205" s="175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175"/>
      <c r="Y206" s="175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175"/>
      <c r="Y207" s="175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175"/>
      <c r="Y208" s="175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175"/>
      <c r="Y209" s="175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175"/>
      <c r="Y210" s="175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175"/>
      <c r="Y211" s="175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175"/>
      <c r="Y212" s="175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175"/>
      <c r="Y213" s="175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175"/>
      <c r="Y214" s="175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175"/>
      <c r="Y215" s="175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175"/>
      <c r="Y216" s="175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175"/>
      <c r="Y217" s="175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175"/>
      <c r="Y218" s="175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175"/>
      <c r="Y219" s="175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175"/>
      <c r="Y220" s="175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175"/>
      <c r="Y221" s="175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175"/>
      <c r="Y222" s="175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175"/>
      <c r="Y223" s="175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175"/>
      <c r="Y224" s="175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175"/>
      <c r="Y225" s="175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175"/>
      <c r="Y226" s="175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175"/>
      <c r="Y227" s="175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175"/>
      <c r="Y228" s="175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175"/>
      <c r="Y229" s="175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175"/>
      <c r="Y230" s="175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175"/>
      <c r="Y231" s="175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175"/>
      <c r="Y232" s="175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175"/>
      <c r="Y233" s="175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175"/>
      <c r="Y234" s="175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175"/>
      <c r="Y235" s="175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175"/>
      <c r="Y236" s="175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175"/>
      <c r="Y237" s="175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175"/>
      <c r="Y238" s="175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175"/>
      <c r="Y239" s="175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175"/>
      <c r="Y240" s="175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175"/>
      <c r="Y241" s="175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175"/>
      <c r="Y242" s="175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175"/>
      <c r="Y243" s="175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175"/>
      <c r="Y244" s="175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175"/>
      <c r="Y245" s="175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175"/>
      <c r="Y246" s="175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175"/>
      <c r="Y247" s="175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175"/>
      <c r="Y248" s="175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175"/>
      <c r="Y249" s="175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175"/>
      <c r="Y250" s="175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175"/>
      <c r="Y251" s="175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175"/>
      <c r="Y252" s="175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175"/>
      <c r="Y253" s="175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175"/>
      <c r="Y254" s="175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175"/>
      <c r="Y255" s="175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175"/>
      <c r="Y256" s="175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175"/>
      <c r="Y257" s="175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175"/>
      <c r="Y258" s="175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175"/>
      <c r="Y259" s="175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175"/>
      <c r="Y260" s="175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175"/>
      <c r="Y261" s="175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175"/>
      <c r="Y262" s="175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175"/>
      <c r="Y263" s="175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175"/>
      <c r="Y264" s="175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175"/>
      <c r="Y265" s="175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175"/>
      <c r="Y266" s="175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175"/>
      <c r="Y267" s="175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175"/>
      <c r="Y268" s="175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175"/>
      <c r="Y269" s="175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175"/>
      <c r="Y270" s="175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175"/>
      <c r="Y271" s="175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175"/>
      <c r="Y272" s="175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175"/>
      <c r="Y273" s="175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175"/>
      <c r="Y274" s="175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175"/>
      <c r="Y275" s="175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175"/>
      <c r="Y276" s="175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175"/>
      <c r="Y277" s="175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175"/>
      <c r="Y278" s="175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175"/>
      <c r="Y279" s="175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175"/>
      <c r="Y280" s="175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175"/>
      <c r="Y281" s="175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175"/>
      <c r="Y282" s="175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175"/>
      <c r="Y283" s="175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175"/>
      <c r="Y284" s="175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175"/>
      <c r="Y285" s="175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175"/>
      <c r="Y286" s="175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175"/>
      <c r="Y287" s="175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175"/>
      <c r="Y288" s="175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175"/>
      <c r="Y289" s="175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175"/>
      <c r="Y290" s="175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175"/>
      <c r="Y291" s="175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175"/>
      <c r="Y292" s="175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175"/>
      <c r="Y293" s="175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175"/>
      <c r="Y294" s="175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175"/>
      <c r="Y295" s="175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175"/>
      <c r="Y296" s="175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175"/>
      <c r="Y297" s="175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175"/>
      <c r="Y298" s="175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175"/>
      <c r="Y299" s="175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175"/>
      <c r="Y300" s="175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175"/>
      <c r="Y301" s="175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175"/>
      <c r="Y302" s="175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175"/>
      <c r="Y303" s="175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175"/>
      <c r="Y304" s="175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175"/>
      <c r="Y305" s="175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175"/>
      <c r="Y306" s="175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175"/>
      <c r="Y307" s="175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175"/>
      <c r="Y308" s="175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175"/>
      <c r="Y309" s="175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175"/>
      <c r="Y310" s="175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175"/>
      <c r="Y311" s="175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175"/>
      <c r="Y312" s="175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175"/>
      <c r="Y313" s="175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175"/>
      <c r="Y314" s="175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175"/>
      <c r="Y315" s="175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175"/>
      <c r="Y316" s="175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175"/>
      <c r="Y317" s="175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175"/>
      <c r="Y318" s="175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175"/>
      <c r="Y319" s="175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175"/>
      <c r="Y320" s="175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175"/>
      <c r="Y321" s="175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175"/>
      <c r="Y322" s="175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175"/>
      <c r="Y323" s="175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175"/>
      <c r="Y324" s="175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175"/>
      <c r="Y325" s="175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175"/>
      <c r="Y326" s="175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175"/>
      <c r="Y327" s="175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175"/>
      <c r="Y328" s="175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175"/>
      <c r="Y329" s="175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175"/>
      <c r="Y330" s="175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175"/>
      <c r="Y331" s="175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175"/>
      <c r="Y332" s="175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175"/>
      <c r="Y333" s="175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175"/>
      <c r="Y334" s="175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175"/>
      <c r="Y335" s="175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175"/>
      <c r="Y336" s="175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175"/>
      <c r="Y337" s="175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175"/>
      <c r="Y338" s="175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175"/>
      <c r="Y339" s="175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175"/>
      <c r="Y340" s="175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175"/>
      <c r="Y341" s="175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175"/>
      <c r="Y342" s="175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175"/>
      <c r="Y343" s="175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175"/>
      <c r="Y344" s="175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175"/>
      <c r="Y345" s="175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175"/>
      <c r="Y346" s="175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175"/>
      <c r="Y347" s="175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175"/>
      <c r="Y348" s="175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175"/>
      <c r="Y349" s="175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175"/>
      <c r="Y350" s="175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175"/>
      <c r="Y351" s="175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175"/>
      <c r="Y352" s="175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175"/>
      <c r="Y353" s="175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175"/>
      <c r="Y354" s="175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175"/>
      <c r="Y355" s="175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175"/>
      <c r="Y356" s="175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175"/>
      <c r="Y357" s="175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175"/>
      <c r="Y358" s="175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175"/>
      <c r="Y359" s="175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175"/>
      <c r="Y360" s="175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175"/>
      <c r="Y361" s="175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175"/>
      <c r="Y362" s="175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175"/>
      <c r="Y363" s="175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175"/>
      <c r="Y364" s="175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175"/>
      <c r="Y365" s="175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175"/>
      <c r="Y366" s="175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175"/>
      <c r="Y367" s="175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175"/>
      <c r="Y368" s="175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175"/>
      <c r="Y369" s="175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175"/>
      <c r="Y370" s="175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175"/>
      <c r="Y371" s="175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175"/>
      <c r="Y372" s="175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175"/>
      <c r="Y373" s="175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175"/>
      <c r="Y374" s="175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175"/>
      <c r="Y375" s="175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175"/>
      <c r="Y376" s="175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175"/>
      <c r="Y377" s="175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175"/>
      <c r="Y378" s="175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175"/>
      <c r="Y379" s="175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175"/>
      <c r="Y380" s="175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175"/>
      <c r="Y381" s="175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175"/>
      <c r="Y382" s="175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175"/>
      <c r="Y383" s="175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175"/>
      <c r="Y384" s="175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175"/>
      <c r="Y385" s="175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175"/>
      <c r="Y386" s="175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175"/>
      <c r="Y387" s="175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175"/>
      <c r="Y388" s="175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175"/>
      <c r="Y389" s="175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175"/>
      <c r="Y390" s="175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175"/>
      <c r="Y391" s="175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175"/>
      <c r="Y392" s="175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175"/>
      <c r="Y393" s="175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175"/>
      <c r="Y394" s="175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175"/>
      <c r="Y395" s="175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175"/>
      <c r="Y396" s="175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175"/>
      <c r="Y397" s="175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175"/>
      <c r="Y398" s="175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175"/>
      <c r="Y399" s="175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175"/>
      <c r="Y400" s="175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175"/>
      <c r="Y401" s="175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175"/>
      <c r="Y402" s="175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175"/>
      <c r="Y403" s="175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175"/>
      <c r="Y404" s="175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175"/>
      <c r="Y405" s="175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175"/>
      <c r="Y406" s="175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175"/>
      <c r="Y407" s="175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175"/>
      <c r="Y408" s="175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175"/>
      <c r="Y409" s="175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175"/>
      <c r="Y410" s="175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175"/>
      <c r="Y411" s="175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175"/>
      <c r="Y412" s="175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175"/>
      <c r="Y413" s="175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175"/>
      <c r="Y414" s="175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175"/>
      <c r="Y415" s="175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175"/>
      <c r="Y416" s="175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175"/>
      <c r="Y417" s="175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175"/>
      <c r="Y418" s="175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175"/>
      <c r="Y419" s="175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175"/>
      <c r="Y420" s="175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175"/>
      <c r="Y421" s="175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175"/>
      <c r="Y422" s="175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175"/>
      <c r="Y423" s="175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175"/>
      <c r="Y424" s="175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175"/>
      <c r="Y425" s="175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175"/>
      <c r="Y426" s="175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175"/>
      <c r="Y427" s="175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175"/>
      <c r="Y428" s="175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175"/>
      <c r="Y429" s="175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175"/>
      <c r="Y430" s="175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175"/>
      <c r="Y431" s="175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175"/>
      <c r="Y432" s="175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175"/>
      <c r="Y433" s="175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175"/>
      <c r="Y434" s="175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175"/>
      <c r="Y435" s="175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175"/>
      <c r="Y436" s="175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175"/>
      <c r="Y437" s="175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175"/>
      <c r="Y438" s="175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175"/>
      <c r="Y439" s="175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175"/>
      <c r="Y440" s="175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175"/>
      <c r="Y441" s="175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175"/>
      <c r="Y442" s="175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175"/>
      <c r="Y443" s="175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175"/>
      <c r="Y444" s="175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175"/>
      <c r="Y445" s="175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175"/>
      <c r="Y446" s="175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175"/>
      <c r="Y447" s="175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175"/>
      <c r="Y448" s="175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175"/>
      <c r="Y449" s="175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175"/>
      <c r="Y450" s="175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175"/>
      <c r="Y451" s="175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175"/>
      <c r="Y452" s="175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175"/>
      <c r="Y453" s="175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175"/>
      <c r="Y454" s="175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175"/>
      <c r="Y455" s="175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175"/>
      <c r="Y456" s="175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175"/>
      <c r="Y457" s="175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175"/>
      <c r="Y458" s="175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175"/>
      <c r="Y459" s="175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175"/>
      <c r="Y460" s="175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175"/>
      <c r="Y461" s="175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175"/>
      <c r="Y462" s="175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175"/>
      <c r="Y463" s="175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175"/>
      <c r="Y464" s="175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175"/>
      <c r="Y465" s="175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175"/>
      <c r="Y466" s="175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175"/>
      <c r="Y467" s="175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175"/>
      <c r="Y468" s="175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175"/>
      <c r="Y469" s="175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175"/>
      <c r="Y470" s="175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175"/>
      <c r="Y471" s="175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175"/>
      <c r="Y472" s="175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175"/>
      <c r="Y473" s="175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175"/>
      <c r="Y474" s="175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175"/>
      <c r="Y475" s="175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175"/>
      <c r="Y476" s="175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175"/>
      <c r="Y477" s="175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175"/>
      <c r="Y478" s="175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175"/>
      <c r="Y479" s="175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175"/>
      <c r="Y480" s="175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175"/>
      <c r="Y481" s="175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175"/>
      <c r="Y482" s="175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175"/>
      <c r="Y483" s="175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175"/>
      <c r="Y484" s="175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175"/>
      <c r="Y485" s="175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175"/>
      <c r="Y486" s="175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175"/>
      <c r="Y487" s="175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175"/>
      <c r="Y488" s="175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175"/>
      <c r="Y489" s="175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175"/>
      <c r="Y490" s="175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175"/>
      <c r="Y491" s="175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175"/>
      <c r="Y492" s="175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175"/>
      <c r="Y493" s="175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175"/>
      <c r="Y494" s="175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175"/>
      <c r="Y495" s="175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175"/>
      <c r="Y496" s="175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175"/>
      <c r="Y497" s="175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175"/>
      <c r="Y498" s="175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175"/>
      <c r="Y499" s="175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175"/>
      <c r="Y500" s="175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175"/>
      <c r="Y501" s="175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175"/>
      <c r="Y502" s="175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175"/>
      <c r="Y503" s="175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175"/>
      <c r="Y504" s="175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175"/>
      <c r="Y505" s="175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175"/>
      <c r="Y506" s="175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175"/>
      <c r="Y507" s="175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175"/>
      <c r="Y508" s="175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175"/>
      <c r="Y509" s="175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175"/>
      <c r="Y510" s="175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175"/>
      <c r="Y511" s="175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175"/>
      <c r="Y512" s="175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175"/>
      <c r="Y513" s="175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175"/>
      <c r="Y514" s="175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175"/>
      <c r="Y515" s="175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175"/>
      <c r="Y516" s="175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175"/>
      <c r="Y517" s="175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175"/>
      <c r="Y518" s="175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175"/>
      <c r="Y519" s="175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175"/>
      <c r="Y520" s="175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175"/>
      <c r="Y521" s="175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175"/>
      <c r="Y522" s="175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175"/>
      <c r="Y523" s="175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175"/>
      <c r="Y524" s="175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175"/>
      <c r="Y525" s="175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175"/>
      <c r="Y526" s="175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175"/>
      <c r="Y527" s="175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175"/>
      <c r="Y528" s="175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175"/>
      <c r="Y529" s="175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175"/>
      <c r="Y530" s="175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175"/>
      <c r="Y531" s="175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175"/>
      <c r="Y532" s="175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175"/>
      <c r="Y533" s="175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175"/>
      <c r="Y534" s="175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175"/>
      <c r="Y535" s="175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175"/>
      <c r="Y536" s="175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175"/>
      <c r="Y537" s="175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175"/>
      <c r="Y538" s="175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175"/>
      <c r="Y539" s="175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175"/>
      <c r="Y540" s="175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175"/>
      <c r="Y541" s="175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175"/>
      <c r="Y542" s="175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175"/>
      <c r="Y543" s="175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175"/>
      <c r="Y544" s="175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175"/>
      <c r="Y545" s="175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175"/>
      <c r="Y546" s="175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175"/>
      <c r="Y547" s="175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175"/>
      <c r="Y548" s="175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175"/>
      <c r="Y549" s="175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175"/>
      <c r="Y550" s="175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175"/>
      <c r="Y551" s="175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175"/>
      <c r="Y552" s="175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175"/>
      <c r="Y553" s="175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175"/>
      <c r="Y554" s="175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175"/>
      <c r="Y555" s="175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175"/>
      <c r="Y556" s="175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175"/>
      <c r="Y557" s="175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175"/>
      <c r="Y558" s="175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175"/>
      <c r="Y559" s="175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175"/>
      <c r="Y560" s="175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175"/>
      <c r="Y561" s="175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175"/>
      <c r="Y562" s="175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175"/>
      <c r="Y563" s="175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175"/>
      <c r="Y564" s="175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175"/>
      <c r="Y565" s="175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175"/>
      <c r="Y566" s="175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175"/>
      <c r="Y567" s="175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175"/>
      <c r="Y568" s="175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175"/>
      <c r="Y569" s="175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175"/>
      <c r="Y570" s="175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175"/>
      <c r="Y571" s="175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175"/>
      <c r="Y572" s="175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175"/>
      <c r="Y573" s="175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175"/>
      <c r="Y574" s="175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175"/>
      <c r="Y575" s="175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175"/>
      <c r="Y576" s="175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175"/>
      <c r="Y577" s="175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175"/>
      <c r="Y578" s="175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175"/>
      <c r="Y579" s="175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175"/>
      <c r="Y580" s="175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175"/>
      <c r="Y581" s="175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175"/>
      <c r="Y582" s="175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175"/>
      <c r="Y583" s="175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175"/>
      <c r="Y584" s="175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175"/>
      <c r="Y585" s="175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175"/>
      <c r="Y586" s="175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175"/>
      <c r="Y587" s="175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175"/>
      <c r="Y588" s="175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175"/>
      <c r="Y589" s="175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175"/>
      <c r="Y590" s="175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175"/>
      <c r="Y591" s="175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175"/>
      <c r="Y592" s="175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175"/>
      <c r="Y593" s="175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175"/>
      <c r="Y594" s="175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175"/>
      <c r="Y595" s="175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175"/>
      <c r="Y596" s="175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175"/>
      <c r="Y597" s="175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175"/>
      <c r="Y598" s="175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175"/>
      <c r="Y599" s="175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175"/>
      <c r="Y600" s="175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175"/>
      <c r="Y601" s="175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175"/>
      <c r="Y602" s="175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175"/>
      <c r="Y603" s="175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175"/>
      <c r="Y604" s="175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175"/>
      <c r="Y605" s="175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175"/>
      <c r="Y606" s="175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175"/>
      <c r="Y607" s="175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175"/>
      <c r="Y608" s="175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175"/>
      <c r="Y609" s="175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175"/>
      <c r="Y610" s="175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175"/>
      <c r="Y611" s="175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175"/>
      <c r="Y612" s="175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175"/>
      <c r="Y613" s="175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175"/>
      <c r="Y614" s="175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175"/>
      <c r="Y615" s="175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175"/>
      <c r="Y616" s="175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175"/>
      <c r="Y617" s="175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175"/>
      <c r="Y618" s="175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175"/>
      <c r="Y619" s="175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175"/>
      <c r="Y620" s="175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175"/>
      <c r="Y621" s="175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175"/>
      <c r="Y622" s="175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175"/>
      <c r="Y623" s="175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175"/>
      <c r="Y624" s="175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175"/>
      <c r="Y625" s="175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175"/>
      <c r="Y626" s="175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175"/>
      <c r="Y627" s="175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175"/>
      <c r="Y628" s="175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175"/>
      <c r="Y629" s="175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175"/>
      <c r="Y630" s="175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175"/>
      <c r="Y631" s="175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175"/>
      <c r="Y632" s="175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175"/>
      <c r="Y633" s="175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175"/>
      <c r="Y634" s="175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175"/>
      <c r="Y635" s="175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175"/>
      <c r="Y636" s="175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175"/>
      <c r="Y637" s="175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175"/>
      <c r="Y638" s="175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175"/>
      <c r="Y639" s="175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175"/>
      <c r="Y640" s="175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175"/>
      <c r="Y641" s="175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175"/>
      <c r="Y642" s="175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175"/>
      <c r="Y643" s="175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175"/>
      <c r="Y644" s="175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175"/>
      <c r="Y645" s="175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175"/>
      <c r="Y646" s="175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175"/>
      <c r="Y647" s="175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175"/>
      <c r="Y648" s="175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175"/>
      <c r="Y649" s="175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175"/>
      <c r="Y650" s="175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175"/>
      <c r="Y651" s="175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175"/>
      <c r="Y652" s="175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175"/>
      <c r="Y653" s="175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175"/>
      <c r="Y654" s="175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175"/>
      <c r="Y655" s="175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175"/>
      <c r="Y656" s="175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175"/>
      <c r="Y657" s="175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175"/>
      <c r="Y658" s="175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175"/>
      <c r="Y659" s="175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175"/>
      <c r="Y660" s="175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175"/>
      <c r="Y661" s="175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175"/>
      <c r="Y662" s="175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175"/>
      <c r="Y663" s="175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175"/>
      <c r="Y664" s="175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175"/>
      <c r="Y665" s="175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175"/>
      <c r="Y666" s="175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175"/>
      <c r="Y667" s="175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175"/>
      <c r="Y668" s="175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175"/>
      <c r="Y669" s="175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175"/>
      <c r="Y670" s="175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175"/>
      <c r="Y671" s="175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175"/>
      <c r="Y672" s="175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175"/>
      <c r="Y673" s="175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175"/>
      <c r="Y674" s="175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175"/>
      <c r="Y675" s="175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175"/>
      <c r="Y676" s="175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175"/>
      <c r="Y677" s="175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175"/>
      <c r="Y678" s="175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175"/>
      <c r="Y679" s="175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175"/>
      <c r="Y680" s="175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175"/>
      <c r="Y681" s="175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175"/>
      <c r="Y682" s="175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175"/>
      <c r="Y683" s="175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175"/>
      <c r="Y684" s="175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175"/>
      <c r="Y685" s="175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175"/>
      <c r="Y686" s="175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175"/>
      <c r="Y687" s="175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175"/>
      <c r="Y688" s="175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175"/>
      <c r="Y689" s="175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175"/>
      <c r="Y690" s="175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175"/>
      <c r="Y691" s="175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175"/>
      <c r="Y692" s="175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175"/>
      <c r="Y693" s="175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175"/>
      <c r="Y694" s="175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175"/>
      <c r="Y695" s="175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175"/>
      <c r="Y696" s="175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175"/>
      <c r="Y697" s="175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175"/>
      <c r="Y698" s="175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175"/>
      <c r="Y699" s="175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175"/>
      <c r="Y700" s="175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175"/>
      <c r="Y701" s="175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175"/>
      <c r="Y702" s="175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175"/>
      <c r="Y703" s="175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175"/>
      <c r="Y704" s="175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175"/>
      <c r="Y705" s="175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175"/>
      <c r="Y706" s="175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175"/>
      <c r="Y707" s="175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175"/>
      <c r="Y708" s="175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175"/>
      <c r="Y709" s="175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175"/>
      <c r="Y710" s="175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175"/>
      <c r="Y711" s="175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175"/>
      <c r="Y712" s="175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175"/>
      <c r="Y713" s="175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175"/>
      <c r="Y714" s="175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175"/>
      <c r="Y715" s="175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175"/>
      <c r="Y716" s="175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175"/>
      <c r="Y717" s="175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175"/>
      <c r="Y718" s="175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175"/>
      <c r="Y719" s="175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175"/>
      <c r="Y720" s="175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175"/>
      <c r="Y721" s="175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175"/>
      <c r="Y722" s="175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175"/>
      <c r="Y723" s="175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175"/>
      <c r="Y724" s="175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175"/>
      <c r="Y725" s="175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175"/>
      <c r="Y726" s="175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175"/>
      <c r="Y727" s="175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175"/>
      <c r="Y728" s="175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175"/>
      <c r="Y729" s="175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175"/>
      <c r="Y730" s="175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175"/>
      <c r="Y731" s="175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175"/>
      <c r="Y732" s="175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175"/>
      <c r="Y733" s="175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175"/>
      <c r="Y734" s="175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175"/>
      <c r="Y735" s="175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175"/>
      <c r="Y736" s="175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175"/>
      <c r="Y737" s="175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175"/>
      <c r="Y738" s="175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175"/>
      <c r="Y739" s="175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175"/>
      <c r="Y740" s="175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175"/>
      <c r="Y741" s="175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175"/>
      <c r="Y742" s="175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175"/>
      <c r="Y743" s="175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175"/>
      <c r="Y744" s="175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175"/>
      <c r="Y745" s="175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175"/>
      <c r="Y746" s="175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175"/>
      <c r="Y747" s="175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175"/>
      <c r="Y748" s="175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175"/>
      <c r="Y749" s="175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175"/>
      <c r="Y750" s="175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175"/>
      <c r="Y751" s="175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175"/>
      <c r="Y752" s="175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175"/>
      <c r="Y753" s="175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175"/>
      <c r="Y754" s="175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175"/>
      <c r="Y755" s="175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175"/>
      <c r="Y756" s="175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175"/>
      <c r="Y757" s="175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175"/>
      <c r="Y758" s="175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175"/>
      <c r="Y759" s="175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175"/>
      <c r="Y760" s="175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175"/>
      <c r="Y761" s="175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175"/>
      <c r="Y762" s="175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175"/>
      <c r="Y763" s="175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175"/>
      <c r="Y764" s="175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175"/>
      <c r="Y765" s="175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175"/>
      <c r="Y766" s="175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175"/>
      <c r="Y767" s="175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175"/>
      <c r="Y768" s="175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175"/>
      <c r="Y769" s="175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175"/>
      <c r="Y770" s="175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175"/>
      <c r="Y771" s="175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175"/>
      <c r="Y772" s="175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175"/>
      <c r="Y773" s="175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175"/>
      <c r="Y774" s="175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175"/>
      <c r="Y775" s="175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175"/>
      <c r="Y776" s="175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175"/>
      <c r="Y777" s="175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175"/>
      <c r="Y778" s="175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175"/>
      <c r="Y779" s="175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175"/>
      <c r="Y780" s="175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175"/>
      <c r="Y781" s="175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175"/>
      <c r="Y782" s="175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175"/>
      <c r="Y783" s="175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175"/>
      <c r="Y784" s="175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175"/>
      <c r="Y785" s="175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175"/>
      <c r="Y786" s="175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175"/>
      <c r="Y787" s="175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175"/>
      <c r="Y788" s="175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175"/>
      <c r="Y789" s="175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175"/>
      <c r="Y790" s="175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175"/>
      <c r="Y791" s="175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175"/>
      <c r="Y792" s="175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175"/>
      <c r="Y793" s="175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175"/>
      <c r="Y794" s="175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175"/>
      <c r="Y795" s="175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175"/>
      <c r="Y796" s="175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175"/>
      <c r="Y797" s="175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175"/>
      <c r="Y798" s="175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175"/>
      <c r="Y799" s="175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175"/>
      <c r="Y800" s="175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175"/>
      <c r="Y801" s="175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175"/>
      <c r="Y802" s="175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175"/>
      <c r="Y803" s="175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175"/>
      <c r="Y804" s="175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175"/>
      <c r="Y805" s="175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175"/>
      <c r="Y806" s="175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175"/>
      <c r="Y807" s="175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175"/>
      <c r="Y808" s="175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175"/>
      <c r="Y809" s="175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175"/>
      <c r="Y810" s="175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175"/>
      <c r="Y811" s="175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175"/>
      <c r="Y812" s="175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175"/>
      <c r="Y813" s="175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175"/>
      <c r="Y814" s="175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175"/>
      <c r="Y815" s="175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175"/>
      <c r="Y816" s="175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175"/>
      <c r="Y817" s="175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175"/>
      <c r="Y818" s="175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175"/>
      <c r="Y819" s="175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175"/>
      <c r="Y820" s="175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175"/>
      <c r="Y821" s="175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175"/>
      <c r="Y822" s="175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175"/>
      <c r="Y823" s="175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175"/>
      <c r="Y824" s="175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175"/>
      <c r="Y825" s="175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175"/>
      <c r="Y826" s="175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175"/>
      <c r="Y827" s="175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175"/>
      <c r="Y828" s="175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175"/>
      <c r="Y829" s="175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175"/>
      <c r="Y830" s="175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175"/>
      <c r="Y831" s="175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175"/>
      <c r="Y832" s="175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175"/>
      <c r="Y833" s="175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175"/>
      <c r="Y834" s="175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175"/>
      <c r="Y835" s="175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175"/>
      <c r="Y836" s="175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175"/>
      <c r="Y837" s="175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175"/>
      <c r="Y838" s="175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175"/>
      <c r="Y839" s="175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175"/>
      <c r="Y840" s="175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175"/>
      <c r="Y841" s="175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175"/>
      <c r="Y842" s="175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175"/>
      <c r="Y843" s="175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175"/>
      <c r="Y844" s="175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175"/>
      <c r="Y845" s="175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175"/>
      <c r="Y846" s="175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175"/>
      <c r="Y847" s="175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175"/>
      <c r="Y848" s="175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175"/>
      <c r="Y849" s="175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175"/>
      <c r="Y850" s="175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175"/>
      <c r="Y851" s="175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175"/>
      <c r="Y852" s="175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175"/>
      <c r="Y853" s="175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175"/>
      <c r="Y854" s="175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175"/>
      <c r="Y855" s="175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175"/>
      <c r="Y856" s="175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175"/>
      <c r="Y857" s="175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175"/>
      <c r="Y858" s="175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175"/>
      <c r="Y859" s="175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175"/>
      <c r="Y860" s="175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175"/>
      <c r="Y861" s="175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175"/>
      <c r="Y862" s="175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175"/>
      <c r="Y863" s="175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175"/>
      <c r="Y864" s="175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175"/>
      <c r="Y865" s="175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175"/>
      <c r="Y866" s="175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175"/>
      <c r="Y867" s="175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175"/>
      <c r="Y868" s="175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175"/>
      <c r="Y869" s="175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175"/>
      <c r="Y870" s="175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175"/>
      <c r="Y871" s="175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175"/>
      <c r="Y872" s="175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175"/>
      <c r="Y873" s="175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175"/>
      <c r="Y874" s="175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175"/>
      <c r="Y875" s="175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175"/>
      <c r="Y876" s="175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175"/>
      <c r="Y877" s="175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175"/>
      <c r="Y878" s="175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175"/>
      <c r="Y879" s="175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175"/>
      <c r="Y880" s="175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175"/>
      <c r="Y881" s="175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175"/>
      <c r="Y882" s="175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175"/>
      <c r="Y883" s="175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175"/>
      <c r="Y884" s="175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175"/>
      <c r="Y885" s="175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175"/>
      <c r="Y886" s="175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175"/>
      <c r="Y887" s="175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175"/>
      <c r="Y888" s="175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175"/>
      <c r="Y889" s="175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175"/>
      <c r="Y890" s="175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175"/>
      <c r="Y891" s="175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175"/>
      <c r="Y892" s="175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175"/>
      <c r="Y893" s="175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175"/>
      <c r="Y894" s="175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175"/>
      <c r="Y895" s="175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175"/>
      <c r="Y896" s="175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175"/>
      <c r="Y897" s="175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175"/>
      <c r="Y898" s="175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175"/>
      <c r="Y899" s="175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175"/>
      <c r="Y900" s="175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175"/>
      <c r="Y901" s="175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175"/>
      <c r="Y902" s="175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175"/>
      <c r="Y903" s="175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175"/>
      <c r="Y904" s="175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175"/>
      <c r="Y905" s="175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175"/>
      <c r="Y906" s="175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175"/>
      <c r="Y907" s="175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175"/>
      <c r="Y908" s="175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175"/>
      <c r="Y909" s="175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175"/>
      <c r="Y910" s="175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175"/>
      <c r="Y911" s="175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175"/>
      <c r="Y912" s="175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175"/>
      <c r="Y913" s="175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175"/>
      <c r="Y914" s="175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175"/>
      <c r="Y915" s="175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175"/>
      <c r="Y916" s="175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175"/>
      <c r="Y917" s="175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175"/>
      <c r="Y918" s="175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175"/>
      <c r="Y919" s="175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175"/>
      <c r="Y920" s="175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175"/>
      <c r="Y921" s="175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175"/>
      <c r="Y922" s="175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175"/>
      <c r="Y923" s="175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175"/>
      <c r="Y924" s="175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175"/>
      <c r="Y925" s="175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175"/>
      <c r="Y926" s="175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175"/>
      <c r="Y927" s="175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175"/>
      <c r="Y928" s="175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175"/>
      <c r="Y929" s="175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175"/>
      <c r="Y930" s="175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175"/>
      <c r="Y931" s="175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175"/>
      <c r="Y932" s="175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175"/>
      <c r="Y933" s="175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175"/>
      <c r="Y934" s="175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175"/>
      <c r="Y935" s="175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175"/>
      <c r="Y936" s="175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175"/>
      <c r="Y937" s="175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175"/>
      <c r="Y938" s="175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175"/>
      <c r="Y939" s="175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175"/>
      <c r="Y940" s="175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175"/>
      <c r="Y941" s="175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175"/>
      <c r="Y942" s="175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175"/>
      <c r="Y943" s="175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175"/>
      <c r="Y944" s="175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175"/>
      <c r="Y945" s="175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175"/>
      <c r="Y946" s="175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175"/>
      <c r="Y947" s="175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175"/>
      <c r="Y948" s="175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175"/>
      <c r="Y949" s="175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175"/>
      <c r="Y950" s="175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175"/>
      <c r="Y951" s="175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175"/>
      <c r="Y952" s="175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175"/>
      <c r="Y953" s="175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175"/>
      <c r="Y954" s="175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175"/>
      <c r="Y955" s="175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175"/>
      <c r="Y956" s="175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175"/>
      <c r="Y957" s="175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175"/>
      <c r="Y958" s="175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175"/>
      <c r="Y959" s="175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175"/>
      <c r="Y960" s="175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175"/>
      <c r="Y961" s="175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175"/>
      <c r="Y962" s="175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175"/>
      <c r="Y963" s="175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175"/>
      <c r="Y964" s="175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175"/>
      <c r="Y965" s="175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175"/>
      <c r="Y966" s="175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175"/>
      <c r="Y967" s="175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175"/>
      <c r="Y968" s="175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175"/>
      <c r="Y969" s="175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175"/>
      <c r="Y970" s="175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175"/>
      <c r="Y971" s="175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175"/>
      <c r="Y972" s="175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175"/>
      <c r="Y973" s="175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175"/>
      <c r="Y974" s="175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175"/>
      <c r="Y975" s="175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175"/>
      <c r="Y976" s="175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175"/>
      <c r="Y977" s="175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175"/>
      <c r="Y978" s="175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175"/>
      <c r="Y979" s="175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175"/>
      <c r="Y980" s="175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175"/>
      <c r="Y981" s="175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175"/>
      <c r="Y982" s="175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175"/>
      <c r="Y983" s="175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175"/>
      <c r="Y984" s="175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175"/>
      <c r="Y985" s="175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175"/>
      <c r="Y986" s="175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175"/>
      <c r="Y987" s="175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175"/>
      <c r="Y988" s="175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175"/>
      <c r="Y989" s="175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175"/>
      <c r="Y990" s="175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175"/>
      <c r="Y991" s="175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175"/>
      <c r="Y992" s="175"/>
      <c r="Z992" s="2"/>
      <c r="AA992" s="2"/>
      <c r="AB992" s="2"/>
      <c r="AC992" s="2"/>
      <c r="A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175"/>
      <c r="Y993" s="175"/>
      <c r="Z993" s="2"/>
      <c r="AA993" s="2"/>
      <c r="AB993" s="2"/>
      <c r="AC993" s="2"/>
      <c r="A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175"/>
      <c r="Y994" s="175"/>
      <c r="Z994" s="2"/>
      <c r="AA994" s="2"/>
      <c r="AB994" s="2"/>
      <c r="AC994" s="2"/>
      <c r="A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175"/>
      <c r="Y995" s="175"/>
      <c r="Z995" s="2"/>
      <c r="AA995" s="2"/>
      <c r="AB995" s="2"/>
      <c r="AC995" s="2"/>
      <c r="A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175"/>
      <c r="Y996" s="175"/>
      <c r="Z996" s="2"/>
      <c r="AA996" s="2"/>
      <c r="AB996" s="2"/>
      <c r="AC996" s="2"/>
      <c r="A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175"/>
      <c r="Y997" s="175"/>
      <c r="Z997" s="2"/>
      <c r="AA997" s="2"/>
      <c r="AB997" s="2"/>
      <c r="AC997" s="2"/>
      <c r="A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175"/>
      <c r="Y998" s="175"/>
      <c r="Z998" s="2"/>
      <c r="AA998" s="2"/>
      <c r="AB998" s="2"/>
      <c r="AC998" s="2"/>
      <c r="A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175"/>
      <c r="Y999" s="175"/>
      <c r="Z999" s="2"/>
      <c r="AA999" s="2"/>
      <c r="AB999" s="2"/>
      <c r="AC999" s="2"/>
      <c r="A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175"/>
      <c r="Y1000" s="175"/>
      <c r="Z1000" s="2"/>
      <c r="AA1000" s="2"/>
      <c r="AB1000" s="2"/>
      <c r="AC1000" s="2"/>
      <c r="A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175"/>
      <c r="Y1001" s="175"/>
      <c r="Z1001" s="2"/>
      <c r="AA1001" s="2"/>
      <c r="AB1001" s="2"/>
      <c r="AC1001" s="2"/>
      <c r="A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175"/>
      <c r="Y1002" s="175"/>
      <c r="Z1002" s="2"/>
      <c r="AA1002" s="2"/>
      <c r="AB1002" s="2"/>
      <c r="AC1002" s="2"/>
      <c r="AD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175"/>
      <c r="Y1003" s="175"/>
      <c r="Z1003" s="2"/>
      <c r="AA1003" s="2"/>
      <c r="AB1003" s="2"/>
      <c r="AC1003" s="2"/>
      <c r="AD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175"/>
      <c r="Y1004" s="175"/>
      <c r="Z1004" s="2"/>
      <c r="AA1004" s="2"/>
      <c r="AB1004" s="2"/>
      <c r="AC1004" s="2"/>
      <c r="AD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175"/>
      <c r="Y1005" s="175"/>
      <c r="Z1005" s="2"/>
      <c r="AA1005" s="2"/>
      <c r="AB1005" s="2"/>
      <c r="AC1005" s="2"/>
      <c r="AD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175"/>
      <c r="Y1006" s="175"/>
      <c r="Z1006" s="2"/>
      <c r="AA1006" s="2"/>
      <c r="AB1006" s="2"/>
      <c r="AC1006" s="2"/>
      <c r="AD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175"/>
      <c r="Y1007" s="175"/>
      <c r="Z1007" s="2"/>
      <c r="AA1007" s="2"/>
      <c r="AB1007" s="2"/>
      <c r="AC1007" s="2"/>
      <c r="AD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175"/>
      <c r="Y1008" s="175"/>
      <c r="Z1008" s="2"/>
      <c r="AA1008" s="2"/>
      <c r="AB1008" s="2"/>
      <c r="AC1008" s="2"/>
      <c r="AD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175"/>
      <c r="Y1009" s="175"/>
      <c r="Z1009" s="2"/>
      <c r="AA1009" s="2"/>
      <c r="AB1009" s="2"/>
      <c r="AC1009" s="2"/>
      <c r="AD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175"/>
      <c r="Y1010" s="175"/>
      <c r="Z1010" s="2"/>
      <c r="AA1010" s="2"/>
      <c r="AB1010" s="2"/>
      <c r="AC1010" s="2"/>
      <c r="AD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175"/>
      <c r="Y1011" s="175"/>
      <c r="Z1011" s="2"/>
      <c r="AA1011" s="2"/>
      <c r="AB1011" s="2"/>
      <c r="AC1011" s="2"/>
      <c r="AD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175"/>
      <c r="Y1012" s="175"/>
      <c r="Z1012" s="2"/>
      <c r="AA1012" s="2"/>
      <c r="AB1012" s="2"/>
      <c r="AC1012" s="2"/>
      <c r="AD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175"/>
      <c r="Y1013" s="175"/>
      <c r="Z1013" s="2"/>
      <c r="AA1013" s="2"/>
      <c r="AB1013" s="2"/>
      <c r="AC1013" s="2"/>
      <c r="AD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175"/>
      <c r="Y1014" s="175"/>
      <c r="Z1014" s="2"/>
      <c r="AA1014" s="2"/>
      <c r="AB1014" s="2"/>
      <c r="AC1014" s="2"/>
      <c r="AD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175"/>
      <c r="Y1015" s="175"/>
      <c r="Z1015" s="2"/>
      <c r="AA1015" s="2"/>
      <c r="AB1015" s="2"/>
      <c r="AC1015" s="2"/>
      <c r="AD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175"/>
      <c r="Y1016" s="175"/>
      <c r="Z1016" s="2"/>
      <c r="AA1016" s="2"/>
      <c r="AB1016" s="2"/>
      <c r="AC1016" s="2"/>
      <c r="AD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175"/>
      <c r="Y1017" s="175"/>
      <c r="Z1017" s="2"/>
      <c r="AA1017" s="2"/>
      <c r="AB1017" s="2"/>
      <c r="AC1017" s="2"/>
      <c r="AD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175"/>
      <c r="Y1018" s="175"/>
      <c r="Z1018" s="2"/>
      <c r="AA1018" s="2"/>
      <c r="AB1018" s="2"/>
      <c r="AC1018" s="2"/>
      <c r="AD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175"/>
      <c r="Y1019" s="175"/>
      <c r="Z1019" s="2"/>
      <c r="AA1019" s="2"/>
      <c r="AB1019" s="2"/>
      <c r="AC1019" s="2"/>
      <c r="AD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175"/>
      <c r="Y1020" s="175"/>
      <c r="Z1020" s="2"/>
      <c r="AA1020" s="2"/>
      <c r="AB1020" s="2"/>
      <c r="AC1020" s="2"/>
      <c r="AD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175"/>
      <c r="Y1021" s="175"/>
      <c r="Z1021" s="2"/>
      <c r="AA1021" s="2"/>
      <c r="AB1021" s="2"/>
      <c r="AC1021" s="2"/>
      <c r="AD1021" s="2"/>
    </row>
  </sheetData>
  <mergeCells count="35">
    <mergeCell ref="G2:G3"/>
    <mergeCell ref="H2:I2"/>
    <mergeCell ref="A4:A19"/>
    <mergeCell ref="A20:A41"/>
    <mergeCell ref="A42:A53"/>
    <mergeCell ref="A54:A81"/>
    <mergeCell ref="A82:A85"/>
    <mergeCell ref="A126:A129"/>
    <mergeCell ref="A130:A134"/>
    <mergeCell ref="A86:A91"/>
    <mergeCell ref="A92:A100"/>
    <mergeCell ref="A101:A106"/>
    <mergeCell ref="A107:A112"/>
    <mergeCell ref="A113:A118"/>
    <mergeCell ref="A119:A122"/>
    <mergeCell ref="A123:A125"/>
    <mergeCell ref="J2:J3"/>
    <mergeCell ref="K2:K3"/>
    <mergeCell ref="L2:L3"/>
    <mergeCell ref="M2:M3"/>
    <mergeCell ref="P2:P3"/>
    <mergeCell ref="R2:R3"/>
    <mergeCell ref="S2:T2"/>
    <mergeCell ref="U2:U3"/>
    <mergeCell ref="V2:V3"/>
    <mergeCell ref="X2:X3"/>
    <mergeCell ref="Y2:Y3"/>
    <mergeCell ref="Z2:AA2"/>
    <mergeCell ref="X1:AA1"/>
    <mergeCell ref="A2:A3"/>
    <mergeCell ref="B2:B3"/>
    <mergeCell ref="C2:C3"/>
    <mergeCell ref="D2:D3"/>
    <mergeCell ref="E2:E3"/>
    <mergeCell ref="F2:F3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