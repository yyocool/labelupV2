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제품 리스트 업데이트" sheetId="1" r:id="rId5"/>
  </sheets>
  <definedNames/>
  <calcPr/>
</workbook>
</file>

<file path=xl/sharedStrings.xml><?xml version="1.0" encoding="utf-8"?>
<sst xmlns="http://schemas.openxmlformats.org/spreadsheetml/2006/main" count="1438" uniqueCount="478">
  <si>
    <t>라벨업 라벨 리스트</t>
  </si>
  <si>
    <t>구분</t>
  </si>
  <si>
    <t>품번</t>
  </si>
  <si>
    <t>폼텍 No</t>
  </si>
  <si>
    <t>애니라벨No</t>
  </si>
  <si>
    <t>아이라벨 No</t>
  </si>
  <si>
    <t>품명</t>
  </si>
  <si>
    <t>바코드</t>
  </si>
  <si>
    <t>제품규격</t>
  </si>
  <si>
    <t>라벨수(칸)</t>
  </si>
  <si>
    <t>표기치수 
(팩/상세페이지)</t>
  </si>
  <si>
    <t>Spec (Size/mm)</t>
  </si>
  <si>
    <t>팩키지</t>
  </si>
  <si>
    <t>박스</t>
  </si>
  <si>
    <t>Sheets
 / PACK(매)</t>
  </si>
  <si>
    <t>입수량</t>
  </si>
  <si>
    <t>색상</t>
  </si>
  <si>
    <t>마진</t>
  </si>
  <si>
    <t>원산지</t>
  </si>
  <si>
    <t>기타</t>
  </si>
  <si>
    <t>상품명</t>
  </si>
  <si>
    <t>판매가</t>
  </si>
  <si>
    <t>팩바코드</t>
  </si>
  <si>
    <t>박스바코드</t>
  </si>
  <si>
    <t>Pack Size(mm)</t>
  </si>
  <si>
    <t>Box Size(mm)</t>
  </si>
  <si>
    <t>카톤박스</t>
  </si>
  <si>
    <t>상단</t>
  </si>
  <si>
    <t>좌측</t>
  </si>
  <si>
    <t>정상 소비자가</t>
  </si>
  <si>
    <t>할인가</t>
  </si>
  <si>
    <t>물류관리용 라벨</t>
  </si>
  <si>
    <t>A101-20</t>
  </si>
  <si>
    <t>V3110-20</t>
  </si>
  <si>
    <t>물류관리라벨</t>
  </si>
  <si>
    <t>A4</t>
  </si>
  <si>
    <t>200 x 289</t>
  </si>
  <si>
    <t>199.9 x 289.05</t>
  </si>
  <si>
    <t>230 x 315</t>
  </si>
  <si>
    <t>330 x 245 x 130</t>
  </si>
  <si>
    <t>백색</t>
  </si>
  <si>
    <t>KOREA</t>
  </si>
  <si>
    <t>A101-20/물류관리라벨1칸/20매</t>
  </si>
  <si>
    <t>A101F-20</t>
  </si>
  <si>
    <t>V3110F-20</t>
  </si>
  <si>
    <t>210 x 297</t>
  </si>
  <si>
    <t>없음</t>
  </si>
  <si>
    <t>A101F-20/물류관리라벨1칸/20매</t>
  </si>
  <si>
    <t>A102-20</t>
  </si>
  <si>
    <t>V3120-20</t>
  </si>
  <si>
    <t>200 x 143.5</t>
  </si>
  <si>
    <t>199.9 x 143.51</t>
  </si>
  <si>
    <t>A102-20/물류관리라벨2칸/20매</t>
  </si>
  <si>
    <t>A103-20</t>
  </si>
  <si>
    <t>V3130-20</t>
  </si>
  <si>
    <t>191.5 x 91</t>
  </si>
  <si>
    <t>A103-20/물류관리라벨3칸/20매</t>
  </si>
  <si>
    <t>A202-20</t>
  </si>
  <si>
    <t>V3140-20</t>
  </si>
  <si>
    <t>98.7 x 139</t>
  </si>
  <si>
    <t>98.73 x 138.94</t>
  </si>
  <si>
    <t>A202-20/물류관리라벨4칸/20매</t>
  </si>
  <si>
    <t>A203-20</t>
  </si>
  <si>
    <t>V3210-20</t>
  </si>
  <si>
    <t>99.1 x 93</t>
  </si>
  <si>
    <t>99.06 x 93.11</t>
  </si>
  <si>
    <t>A203-20/물류관리라벨6칸/20매</t>
  </si>
  <si>
    <t>A304-20</t>
  </si>
  <si>
    <t>V3310-20</t>
  </si>
  <si>
    <t>63.5 x 72</t>
  </si>
  <si>
    <t>63.5 x 71.98</t>
  </si>
  <si>
    <t>A304-20/물류관리라벨12칸/20매</t>
  </si>
  <si>
    <t>A101-100</t>
  </si>
  <si>
    <t>V3110-100</t>
  </si>
  <si>
    <t>219 x 307 x 20</t>
  </si>
  <si>
    <t>460 x 320 x 125</t>
  </si>
  <si>
    <t>A101-100/물류관리라벨1칸/100매</t>
  </si>
  <si>
    <t>A101-200</t>
  </si>
  <si>
    <t>V3110-200</t>
  </si>
  <si>
    <t>219 x 307 x 35</t>
  </si>
  <si>
    <t>325 x 240 X 200</t>
  </si>
  <si>
    <t>A101F-100</t>
  </si>
  <si>
    <t>V3110F-100</t>
  </si>
  <si>
    <t>A101F-100/물류관리라벨1칸/100매</t>
  </si>
  <si>
    <t>A102-100</t>
  </si>
  <si>
    <t>V3120-100</t>
  </si>
  <si>
    <t>A102-100/물류관리라벨2칸/100매</t>
  </si>
  <si>
    <t>A102-200</t>
  </si>
  <si>
    <t>V3120-200</t>
  </si>
  <si>
    <t>A5</t>
  </si>
  <si>
    <t>A103-100</t>
  </si>
  <si>
    <t>V3130-100</t>
  </si>
  <si>
    <t>A103-100/물류관리라벨3칸/100매</t>
  </si>
  <si>
    <t>A202-100</t>
  </si>
  <si>
    <t>V3140-100</t>
  </si>
  <si>
    <t>A202-100/물류관리라벨4칸/100매</t>
  </si>
  <si>
    <t>A203-100</t>
  </si>
  <si>
    <t>V3210-100</t>
  </si>
  <si>
    <t>A203-100/물류관리라벨6칸/100매</t>
  </si>
  <si>
    <t>A304-100</t>
  </si>
  <si>
    <t>V3310-100</t>
  </si>
  <si>
    <t>A304-100/물류관리라벨12칸/100매</t>
  </si>
  <si>
    <t>주소용라벨</t>
  </si>
  <si>
    <t>A106-20</t>
  </si>
  <si>
    <t>V3160-20</t>
  </si>
  <si>
    <t>120 x 43</t>
  </si>
  <si>
    <t>A106-20/주소용라벨6칸/20매</t>
  </si>
  <si>
    <t>A204-20</t>
  </si>
  <si>
    <t>V3220-20</t>
  </si>
  <si>
    <t>99.1 x 67.7</t>
  </si>
  <si>
    <t>99.06 x 67.71</t>
  </si>
  <si>
    <t>A204-20/주소용라벨8칸/20매</t>
  </si>
  <si>
    <t>A205-20</t>
  </si>
  <si>
    <t>V3250-20</t>
  </si>
  <si>
    <t>89 x 52</t>
  </si>
  <si>
    <t>88.9 x 52</t>
  </si>
  <si>
    <t>A205-20/주소용라벨10칸/20매</t>
  </si>
  <si>
    <t>A206-20</t>
  </si>
  <si>
    <t>V3270-20</t>
  </si>
  <si>
    <t>100 x 46.4</t>
  </si>
  <si>
    <t>100.0 x 46.4</t>
  </si>
  <si>
    <t>A206-20/주소용라벨12칸/20매</t>
  </si>
  <si>
    <t>A207-20</t>
  </si>
  <si>
    <t>V3230-20</t>
  </si>
  <si>
    <t>99.1 x 38</t>
  </si>
  <si>
    <t>99.06 x 38.1</t>
  </si>
  <si>
    <t>A207-20/주소용라벨14칸/20매</t>
  </si>
  <si>
    <t>A208-20</t>
  </si>
  <si>
    <t>V3240-20</t>
  </si>
  <si>
    <t>99.1 x 33.9</t>
  </si>
  <si>
    <t>99.06 x 33.85</t>
  </si>
  <si>
    <t>A208-20/주소용라벨16칸/20매</t>
  </si>
  <si>
    <t>A209-20</t>
  </si>
  <si>
    <t>V3260-20</t>
  </si>
  <si>
    <t>100 x 30</t>
  </si>
  <si>
    <t>A209-20/주소용라벨18칸/20매</t>
  </si>
  <si>
    <t>A306-20</t>
  </si>
  <si>
    <t>V3320-20</t>
  </si>
  <si>
    <t>63.5 x 46.5</t>
  </si>
  <si>
    <t>A306-20/주소용라벨18칸/20매</t>
  </si>
  <si>
    <t>A307-20</t>
  </si>
  <si>
    <t>V3330-20</t>
  </si>
  <si>
    <t>63.5 x 38</t>
  </si>
  <si>
    <t>63.5 x 38.1</t>
  </si>
  <si>
    <t>A307-20/주소용라벨21칸/20매</t>
  </si>
  <si>
    <t>A308-20</t>
  </si>
  <si>
    <t>V3340-20</t>
  </si>
  <si>
    <t>64 x 34</t>
  </si>
  <si>
    <t>64.0 x 33.86</t>
  </si>
  <si>
    <t>A308-20/주소용라벨24칸/20매</t>
  </si>
  <si>
    <t>A106-100</t>
  </si>
  <si>
    <t>V3160-100</t>
  </si>
  <si>
    <t>A106-100/주소용라벨6칸/100매</t>
  </si>
  <si>
    <t>A204-100</t>
  </si>
  <si>
    <t>V3220-100</t>
  </si>
  <si>
    <t>A204-100/주소용라벨8칸/100매</t>
  </si>
  <si>
    <t>A204-200</t>
  </si>
  <si>
    <t>V3220-200</t>
  </si>
  <si>
    <t>A205-100</t>
  </si>
  <si>
    <t>V3250-100</t>
  </si>
  <si>
    <t>88.9 x 52.0</t>
  </si>
  <si>
    <t>A205-100/주소용라벨10칸/100매</t>
  </si>
  <si>
    <t>A206-100</t>
  </si>
  <si>
    <t>V3270-100</t>
  </si>
  <si>
    <t>A206-100/주소용라벨12칸/100매</t>
  </si>
  <si>
    <t>A207-100</t>
  </si>
  <si>
    <t>V3230-100</t>
  </si>
  <si>
    <t>A207-100/주소용라벨14칸/100매</t>
  </si>
  <si>
    <t>A208-100</t>
  </si>
  <si>
    <t>V3240-100</t>
  </si>
  <si>
    <t>A208-100/주소용라벨16칸/100매</t>
  </si>
  <si>
    <t>A208-200</t>
  </si>
  <si>
    <t>V3240-200</t>
  </si>
  <si>
    <t>A209-100</t>
  </si>
  <si>
    <t>V3260-100</t>
  </si>
  <si>
    <t>100.0 x 30.0</t>
  </si>
  <si>
    <t>A209-100/주소용라벨18칸/100매</t>
  </si>
  <si>
    <t>A306-100</t>
  </si>
  <si>
    <t>V3320-100</t>
  </si>
  <si>
    <t>A306-100/주소용라벨18칸/100매</t>
  </si>
  <si>
    <t>A307-100</t>
  </si>
  <si>
    <t>V3330-100</t>
  </si>
  <si>
    <t>A307-100/주소용라벨21칸/100매</t>
  </si>
  <si>
    <t>A308-100</t>
  </si>
  <si>
    <t>V3340-100</t>
  </si>
  <si>
    <t>A308-100/주소용라벨24칸/100매</t>
  </si>
  <si>
    <t>바코드용라벨</t>
  </si>
  <si>
    <t>A309-20</t>
  </si>
  <si>
    <t>V3350-20</t>
  </si>
  <si>
    <t>바코드 라벨</t>
  </si>
  <si>
    <t>62.7 x 30</t>
  </si>
  <si>
    <t>62.7 x 30.1</t>
  </si>
  <si>
    <t>A309-20/바코드용라벨27칸/20매</t>
  </si>
  <si>
    <t>A410-20</t>
  </si>
  <si>
    <t>V3410-20</t>
  </si>
  <si>
    <t>47 x 27</t>
  </si>
  <si>
    <t>47 x 26.9</t>
  </si>
  <si>
    <t>A410-20/바코드용라벨40칸/20매</t>
  </si>
  <si>
    <t>A412-20</t>
  </si>
  <si>
    <t>V3480-20</t>
  </si>
  <si>
    <t>46 x 21</t>
  </si>
  <si>
    <t>45.7 x 21.2</t>
  </si>
  <si>
    <t>A412-20/바코드용라벨48칸/20매</t>
  </si>
  <si>
    <t>A609-20</t>
  </si>
  <si>
    <t>V3610-20</t>
  </si>
  <si>
    <t>26 x 29.5</t>
  </si>
  <si>
    <t>A609-20/바코드용라벨54칸/20매</t>
  </si>
  <si>
    <t>A512-20</t>
  </si>
  <si>
    <t>V3520-20</t>
  </si>
  <si>
    <t>38 x 19</t>
  </si>
  <si>
    <t>38.0 x 19.2</t>
  </si>
  <si>
    <t>A512-20/바코드용라벨60칸/20매</t>
  </si>
  <si>
    <t>A513-20</t>
  </si>
  <si>
    <t>V3510-20</t>
  </si>
  <si>
    <t>38 x 21.1</t>
  </si>
  <si>
    <t>38.1 x 21.08</t>
  </si>
  <si>
    <t>A513-20/바코드용라벨65칸/20매</t>
  </si>
  <si>
    <t>A309-100</t>
  </si>
  <si>
    <t>V3350-100</t>
  </si>
  <si>
    <t>A309-100/바코드용라벨27칸/100매</t>
  </si>
  <si>
    <t>A410-100</t>
  </si>
  <si>
    <t>V3410-100</t>
  </si>
  <si>
    <t>A410-100/바코드용라벨40칸/100매</t>
  </si>
  <si>
    <t>A412-100</t>
  </si>
  <si>
    <t>V3480-100</t>
  </si>
  <si>
    <t>45.7 x 21</t>
  </si>
  <si>
    <t>A412-100/바코드용라벨48칸/100매</t>
  </si>
  <si>
    <t>A609-100</t>
  </si>
  <si>
    <t>V3610-100</t>
  </si>
  <si>
    <t>A609-100/바코드용라벨54칸/100매</t>
  </si>
  <si>
    <t>A512-100</t>
  </si>
  <si>
    <t>V3520-100</t>
  </si>
  <si>
    <t>A512-100/바코드용라벨60칸/100매</t>
  </si>
  <si>
    <t>A513-100</t>
  </si>
  <si>
    <t>V3510-100</t>
  </si>
  <si>
    <t>A513-100/바코드용라벨65칸/100매</t>
  </si>
  <si>
    <t>인덱스용라벨</t>
  </si>
  <si>
    <t>A105-20</t>
  </si>
  <si>
    <t>V3150-20</t>
  </si>
  <si>
    <t>인덱스라벨</t>
  </si>
  <si>
    <t>190 x 50</t>
  </si>
  <si>
    <t>A105-20/인덱스용라벨5칸/20매</t>
  </si>
  <si>
    <t>A402-20</t>
  </si>
  <si>
    <t>V3280-20</t>
  </si>
  <si>
    <t>48 x 130</t>
  </si>
  <si>
    <t>A402-20/인덱스용라벨8칸/20매</t>
  </si>
  <si>
    <t>A109-20</t>
  </si>
  <si>
    <t>V3190-20</t>
  </si>
  <si>
    <t>150 x 28</t>
  </si>
  <si>
    <t>A109-20/인덱스용라벨9칸/20매</t>
  </si>
  <si>
    <t>A304R-20</t>
  </si>
  <si>
    <t>V3760-20</t>
  </si>
  <si>
    <t>63.5 x 63.5</t>
  </si>
  <si>
    <t>A304R-20/인덱스용라벨12칸/20매</t>
  </si>
  <si>
    <t>A210-20</t>
  </si>
  <si>
    <t>V3470-20</t>
  </si>
  <si>
    <t>84 x 28</t>
  </si>
  <si>
    <t>A210-20/인덱스용라벨20칸/20매</t>
  </si>
  <si>
    <t>A406R-20</t>
  </si>
  <si>
    <t>V3630-20</t>
  </si>
  <si>
    <t>40 x40</t>
  </si>
  <si>
    <t>A406R-20/인덱스용라벨24칸/20매</t>
  </si>
  <si>
    <t>A311-20</t>
  </si>
  <si>
    <t>V3490-20</t>
  </si>
  <si>
    <t>62 x 24</t>
  </si>
  <si>
    <t>A311-20/인덱스용라벨33칸/20매</t>
  </si>
  <si>
    <t>A218-20</t>
  </si>
  <si>
    <t>V3460-20</t>
  </si>
  <si>
    <t>95 x 14</t>
  </si>
  <si>
    <t>A218-20/인덱스용라벨36칸/20매</t>
  </si>
  <si>
    <t>A318-20</t>
  </si>
  <si>
    <t>V3540-20</t>
  </si>
  <si>
    <t>62.7 x 15</t>
  </si>
  <si>
    <t>A318-20/인덱스용라벨54칸/20매</t>
  </si>
  <si>
    <t>A421-20</t>
  </si>
  <si>
    <t>V3420-20</t>
  </si>
  <si>
    <t>46 x 11</t>
  </si>
  <si>
    <t>A421-20/인덱스용라벨84칸/20매</t>
  </si>
  <si>
    <t>A616-20</t>
  </si>
  <si>
    <t>V3530-20</t>
  </si>
  <si>
    <t>30 x 14</t>
  </si>
  <si>
    <t>A616-20/인덱스용라벨96칸/20매</t>
  </si>
  <si>
    <t>A524-20</t>
  </si>
  <si>
    <t>V3430-20</t>
  </si>
  <si>
    <t>32 x 8</t>
  </si>
  <si>
    <t>A524-20/인덱스용라벨120칸/20매</t>
  </si>
  <si>
    <t>A529-20</t>
  </si>
  <si>
    <t>V3550-20</t>
  </si>
  <si>
    <t>30 x 9</t>
  </si>
  <si>
    <t>A529-20/인덱스용라벨145칸/20매</t>
  </si>
  <si>
    <t>A827-20</t>
  </si>
  <si>
    <t>V3570-20</t>
  </si>
  <si>
    <t>20 x 10</t>
  </si>
  <si>
    <t>A827-20/인덱스용라벨216칸/20매</t>
  </si>
  <si>
    <t>A105-100</t>
  </si>
  <si>
    <t>V3150-100</t>
  </si>
  <si>
    <t>A105-100/인덱스용라벨5칸/100매</t>
  </si>
  <si>
    <t>A402-100</t>
  </si>
  <si>
    <t>V3280-100</t>
  </si>
  <si>
    <t>A402-100/인덱스용라벨8칸/100매</t>
  </si>
  <si>
    <t>A109-100</t>
  </si>
  <si>
    <t>V3190-100</t>
  </si>
  <si>
    <t>A109-100/인덱스용라벨9칸/100매</t>
  </si>
  <si>
    <t>A304R-100</t>
  </si>
  <si>
    <t>V3760-100</t>
  </si>
  <si>
    <t>A304R-100/인덱스용라벨12칸/100매</t>
  </si>
  <si>
    <t>A210-100</t>
  </si>
  <si>
    <t>V3470-100</t>
  </si>
  <si>
    <t>A210-100/인덱스용라벨20칸/100매</t>
  </si>
  <si>
    <t>A406R-100</t>
  </si>
  <si>
    <t>V3630-100</t>
  </si>
  <si>
    <t>A406R-100/인덱스용라벨24칸/100매</t>
  </si>
  <si>
    <t>A311-100</t>
  </si>
  <si>
    <t>V3490-100</t>
  </si>
  <si>
    <t>461 x 320 x 125</t>
  </si>
  <si>
    <t>A311-100/인덱스용라벨33칸/100매</t>
  </si>
  <si>
    <t>A218-100</t>
  </si>
  <si>
    <t>V3460-100</t>
  </si>
  <si>
    <t>A218-100/인덱스용라벨36칸/100매</t>
  </si>
  <si>
    <t>A318-100</t>
  </si>
  <si>
    <t>V3540-100</t>
  </si>
  <si>
    <t>A318-100/인덱스용라벨54칸/100매</t>
  </si>
  <si>
    <t>A421-100</t>
  </si>
  <si>
    <t>V3420-100</t>
  </si>
  <si>
    <t>A421-100/인덱스용라벨84칸/100매</t>
  </si>
  <si>
    <t>A616-100</t>
  </si>
  <si>
    <t>V3530-100</t>
  </si>
  <si>
    <t>A616-100/인덱스용라벨96칸/100매</t>
  </si>
  <si>
    <t>A524-100</t>
  </si>
  <si>
    <t>V3430-100</t>
  </si>
  <si>
    <t>A524-100/인덱스용라벨120칸/100매</t>
  </si>
  <si>
    <t>A529-100</t>
  </si>
  <si>
    <t>V3550-100</t>
  </si>
  <si>
    <t>A529-100/인덱스용라벨145칸/100매</t>
  </si>
  <si>
    <t>A827-100</t>
  </si>
  <si>
    <t>V3570-100</t>
  </si>
  <si>
    <t>A827-100/인덱스용라벨216칸/100매</t>
  </si>
  <si>
    <t>정부문서</t>
  </si>
  <si>
    <t>AD104-20</t>
  </si>
  <si>
    <t>V4320-20</t>
  </si>
  <si>
    <t>정부문서화일</t>
  </si>
  <si>
    <t>4set</t>
  </si>
  <si>
    <t>AD104-50</t>
  </si>
  <si>
    <t>V4320-50</t>
  </si>
  <si>
    <t>215 x 300 x 12</t>
  </si>
  <si>
    <t>329 x 245 x 130</t>
  </si>
  <si>
    <t>AD102-20</t>
  </si>
  <si>
    <t>V4330-20</t>
  </si>
  <si>
    <t>2set</t>
  </si>
  <si>
    <t>AD102-50</t>
  </si>
  <si>
    <t>V4330-50</t>
  </si>
  <si>
    <t>광택라벨</t>
  </si>
  <si>
    <t>LG101-100</t>
  </si>
  <si>
    <t>V8110-100</t>
  </si>
  <si>
    <t>215 x 307 x 17</t>
  </si>
  <si>
    <t>325 x 240 x 200</t>
  </si>
  <si>
    <t>광택백색</t>
  </si>
  <si>
    <t>LG102-100</t>
  </si>
  <si>
    <t>V8120-100</t>
  </si>
  <si>
    <t>LG204-100</t>
  </si>
  <si>
    <t>V8220-100</t>
  </si>
  <si>
    <t>99.1 x 68</t>
  </si>
  <si>
    <t>LG205-100</t>
  </si>
  <si>
    <t>V8250-100</t>
  </si>
  <si>
    <t>LG208-100</t>
  </si>
  <si>
    <t>V8240-100</t>
  </si>
  <si>
    <t>LG307-100</t>
  </si>
  <si>
    <t>V8330-100</t>
  </si>
  <si>
    <t>방수라벨</t>
  </si>
  <si>
    <t>LW101-10</t>
  </si>
  <si>
    <t>V8910-10</t>
  </si>
  <si>
    <t>330 x 245 x 150</t>
  </si>
  <si>
    <t>LW101-50</t>
  </si>
  <si>
    <t>V8910-50</t>
  </si>
  <si>
    <t>LW102-10</t>
  </si>
  <si>
    <t>LW202-10</t>
  </si>
  <si>
    <t>LW204-10</t>
  </si>
  <si>
    <t>LW208-10</t>
  </si>
  <si>
    <t>LW307-10</t>
  </si>
  <si>
    <t>V8920-10</t>
  </si>
  <si>
    <t>LW410-10</t>
  </si>
  <si>
    <t>V8940-10</t>
  </si>
  <si>
    <t>LW512-10</t>
  </si>
  <si>
    <t>반투명</t>
  </si>
  <si>
    <t>SPAIN</t>
  </si>
  <si>
    <t>반투명라벨</t>
  </si>
  <si>
    <t>LT101-10</t>
  </si>
  <si>
    <t>V3950-10</t>
  </si>
  <si>
    <t>LT101-50</t>
  </si>
  <si>
    <t>V3950-50</t>
  </si>
  <si>
    <t>LT102-10</t>
  </si>
  <si>
    <t>LT204-10</t>
  </si>
  <si>
    <t>V3910-10</t>
  </si>
  <si>
    <t>LT208-10</t>
  </si>
  <si>
    <t>V3930-10</t>
  </si>
  <si>
    <t>LT307-10</t>
  </si>
  <si>
    <t>V3970-10</t>
  </si>
  <si>
    <t>잉크젯 투명라벨</t>
  </si>
  <si>
    <t>IC101F-5</t>
  </si>
  <si>
    <t>V3960-5</t>
  </si>
  <si>
    <t>투명</t>
  </si>
  <si>
    <t>IC101F-50</t>
  </si>
  <si>
    <t>V3960-50</t>
  </si>
  <si>
    <t>IC102-5</t>
  </si>
  <si>
    <t>IC204-5</t>
  </si>
  <si>
    <t>IC208-5</t>
  </si>
  <si>
    <t>V3980-5</t>
  </si>
  <si>
    <t>IC307-5</t>
  </si>
  <si>
    <t>V3990-5</t>
  </si>
  <si>
    <t>레이저 투명라벨</t>
  </si>
  <si>
    <t>LC101-10</t>
  </si>
  <si>
    <t>V3965-10</t>
  </si>
  <si>
    <t>210 x 289</t>
  </si>
  <si>
    <t>LC101-50</t>
  </si>
  <si>
    <t>V3965-50</t>
  </si>
  <si>
    <t>LC102-10</t>
  </si>
  <si>
    <t>LC204-10</t>
  </si>
  <si>
    <t>LC208-10</t>
  </si>
  <si>
    <t>V3985-10</t>
  </si>
  <si>
    <t>LC307-10</t>
  </si>
  <si>
    <t>V3995-10</t>
  </si>
  <si>
    <t>보호용 필름</t>
  </si>
  <si>
    <t>PC101-10</t>
  </si>
  <si>
    <t>F2010-10</t>
  </si>
  <si>
    <t>보호용필름</t>
  </si>
  <si>
    <t>N/A</t>
  </si>
  <si>
    <t>PC303-10</t>
  </si>
  <si>
    <t>F2020-10</t>
  </si>
  <si>
    <t>42 x 107</t>
  </si>
  <si>
    <t>PC404-10</t>
  </si>
  <si>
    <t>F2030-10</t>
  </si>
  <si>
    <t>44 x 70</t>
  </si>
  <si>
    <t>PC505-10</t>
  </si>
  <si>
    <t>F2040-10</t>
  </si>
  <si>
    <t>33 x 53</t>
  </si>
  <si>
    <t>컬러라벨</t>
  </si>
  <si>
    <t>LN101R-10</t>
  </si>
  <si>
    <t>V3815-10</t>
  </si>
  <si>
    <t>형광컬러(빨강)</t>
  </si>
  <si>
    <t>형광빨강</t>
  </si>
  <si>
    <t>LN101G-10</t>
  </si>
  <si>
    <t>V3825-10</t>
  </si>
  <si>
    <t>형광컬러(초록)</t>
  </si>
  <si>
    <t>형광초록</t>
  </si>
  <si>
    <t>LN101Y-10</t>
  </si>
  <si>
    <t>V3835-10</t>
  </si>
  <si>
    <t>형광컬러(노랑)</t>
  </si>
  <si>
    <t>형광노랑</t>
  </si>
  <si>
    <t>파스텔 컬러 라벨</t>
  </si>
  <si>
    <t>AP101Y-20</t>
  </si>
  <si>
    <t>V3845-20</t>
  </si>
  <si>
    <t>파스텔 노랑</t>
  </si>
  <si>
    <t>연노랑</t>
  </si>
  <si>
    <t>AP101G-20</t>
  </si>
  <si>
    <t>V3855-20</t>
  </si>
  <si>
    <t>파스텔 연두</t>
  </si>
  <si>
    <t>연초록</t>
  </si>
  <si>
    <t>AP101P-20</t>
  </si>
  <si>
    <t>V3865-20</t>
  </si>
  <si>
    <t>파스텔 핑크</t>
  </si>
  <si>
    <t>연분홍</t>
  </si>
  <si>
    <t>AP101B-20</t>
  </si>
  <si>
    <t>V3875-20</t>
  </si>
  <si>
    <t>파스텔 파랑</t>
  </si>
  <si>
    <t>연파랑</t>
  </si>
  <si>
    <t>크라프트 라벨</t>
  </si>
  <si>
    <t>AK101-10</t>
  </si>
  <si>
    <t>V3010-10</t>
  </si>
  <si>
    <t>크라프트</t>
  </si>
  <si>
    <t>AK101-100</t>
  </si>
  <si>
    <t>V3010-50</t>
  </si>
  <si>
    <t>AK102-10</t>
  </si>
  <si>
    <t>V3030-10</t>
  </si>
  <si>
    <t>AK207-10</t>
  </si>
  <si>
    <t>V3020-10</t>
  </si>
  <si>
    <t>AK307-10</t>
  </si>
  <si>
    <t>V3050-10</t>
  </si>
  <si>
    <t>127 sku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</si>
</sst>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년 m월"/>
  </numFmts>
  <fonts count="18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&quot;맑은 고딕&quot;"/>
    </font>
    <font/>
    <font>
      <b/>
      <color rgb="FF000000"/>
      <name val="&quot;맑은 고딕&quot;"/>
    </font>
    <font>
      <b/>
      <color theme="1"/>
      <name val="Arial"/>
    </font>
    <font>
      <b/>
      <sz val="10.0"/>
      <color rgb="FFFFFFFF"/>
      <name val="&quot;맑은 고딕&quot;"/>
    </font>
    <font>
      <b/>
      <sz val="10.0"/>
      <color theme="1"/>
      <name val="&quot;맑은 고딕&quot;"/>
    </font>
    <font>
      <sz val="10.0"/>
      <color theme="1"/>
      <name val="&quot;맑은 고딕&quot;"/>
    </font>
    <font>
      <sz val="10.0"/>
      <color rgb="FF000000"/>
      <name val="Arial"/>
    </font>
    <font>
      <sz val="10.0"/>
      <color rgb="FF000000"/>
      <name val="&quot;맑은 고딕&quot;"/>
    </font>
    <font>
      <sz val="8.0"/>
      <color theme="1"/>
      <name val="&quot;맑은 고딕&quot;"/>
    </font>
    <font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sz val="10.0"/>
      <color theme="1"/>
      <name val="Arial"/>
      <scheme val="minor"/>
    </font>
    <font>
      <b/>
      <sz val="10.0"/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984956"/>
        <bgColor rgb="FF984956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745BA7"/>
        <bgColor rgb="FF745BA7"/>
      </patternFill>
    </fill>
    <fill>
      <patternFill patternType="solid">
        <fgColor rgb="FF05988B"/>
        <bgColor rgb="FF05988B"/>
      </patternFill>
    </fill>
    <fill>
      <patternFill patternType="solid">
        <fgColor rgb="FF96989B"/>
        <bgColor rgb="FF96989B"/>
      </patternFill>
    </fill>
    <fill>
      <patternFill patternType="solid">
        <fgColor rgb="FFD96F28"/>
        <bgColor rgb="FFD96F28"/>
      </patternFill>
    </fill>
    <fill>
      <patternFill patternType="solid">
        <fgColor rgb="FF285136"/>
        <bgColor rgb="FF285136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double">
        <color rgb="FF000000"/>
      </top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double">
        <color rgb="FF000000"/>
      </bottom>
    </border>
    <border>
      <right style="thin">
        <color rgb="FF000000"/>
      </right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 style="double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1" fillId="2" fontId="3" numFmtId="0" xfId="0" applyAlignment="1" applyBorder="1" applyFill="1" applyFont="1">
      <alignment horizontal="center" readingOrder="0" vertical="center"/>
    </xf>
    <xf borderId="1" fillId="3" fontId="3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 vertical="center"/>
    </xf>
    <xf borderId="3" fillId="0" fontId="4" numFmtId="0" xfId="0" applyBorder="1" applyFont="1"/>
    <xf borderId="1" fillId="2" fontId="5" numFmtId="0" xfId="0" applyAlignment="1" applyBorder="1" applyFill="1" applyFont="1">
      <alignment horizontal="center" readingOrder="0" vertical="center"/>
    </xf>
    <xf borderId="3" fillId="2" fontId="5" numFmtId="0" xfId="0" applyAlignment="1" applyBorder="1" applyFill="1" applyFont="1">
      <alignment horizontal="center" readingOrder="0" vertical="center"/>
    </xf>
    <xf borderId="4" fillId="2" fontId="5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vertical="center"/>
    </xf>
    <xf borderId="2" fillId="4" fontId="6" numFmtId="3" xfId="0" applyAlignment="1" applyBorder="1" applyFill="1" applyFont="1" applyNumberFormat="1">
      <alignment horizontal="center" vertical="center"/>
    </xf>
    <xf borderId="0" fillId="0" fontId="6" numFmtId="3" xfId="0" applyAlignment="1" applyFont="1" applyNumberFormat="1">
      <alignment horizontal="center" vertical="center"/>
    </xf>
    <xf borderId="5" fillId="0" fontId="4" numFmtId="0" xfId="0" applyBorder="1" applyFont="1"/>
    <xf borderId="6" fillId="2" fontId="3" numFmtId="0" xfId="0" applyAlignment="1" applyBorder="1" applyFill="1" applyFont="1">
      <alignment horizontal="center" readingOrder="0" vertical="center"/>
    </xf>
    <xf borderId="6" fillId="2" fontId="5" numFmtId="0" xfId="0" applyAlignment="1" applyBorder="1" applyFill="1" applyFont="1">
      <alignment horizontal="center" readingOrder="0" vertical="center"/>
    </xf>
    <xf borderId="6" fillId="4" fontId="6" numFmtId="3" xfId="0" applyAlignment="1" applyBorder="1" applyFill="1" applyFont="1" applyNumberFormat="1">
      <alignment horizontal="center" vertical="center"/>
    </xf>
    <xf borderId="7" fillId="5" fontId="7" numFmtId="0" xfId="0" applyAlignment="1" applyBorder="1" applyFill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8" fillId="0" fontId="8" numFmtId="0" xfId="0" applyAlignment="1" applyBorder="1" applyFont="1">
      <alignment horizontal="center" readingOrder="0" vertical="center"/>
    </xf>
    <xf borderId="9" fillId="0" fontId="9" numFmtId="0" xfId="0" applyAlignment="1" applyBorder="1" applyFont="1">
      <alignment horizontal="center" readingOrder="0" vertical="center"/>
    </xf>
    <xf borderId="9" fillId="6" fontId="9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9" fillId="0" fontId="11" numFmtId="0" xfId="0" applyAlignment="1" applyBorder="1" applyFont="1">
      <alignment horizontal="center" readingOrder="0" vertical="center"/>
    </xf>
    <xf borderId="9" fillId="6" fontId="11" numFmtId="0" xfId="0" applyAlignment="1" applyBorder="1" applyFill="1" applyFont="1">
      <alignment horizontal="center" readingOrder="0" vertical="center"/>
    </xf>
    <xf borderId="10" fillId="0" fontId="9" numFmtId="0" xfId="0" applyAlignment="1" applyBorder="1" applyFont="1">
      <alignment horizontal="center" readingOrder="0" vertical="center"/>
    </xf>
    <xf borderId="9" fillId="0" fontId="12" numFmtId="0" xfId="0" applyAlignment="1" applyBorder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3" xfId="0" applyAlignment="1" applyFont="1" applyNumberFormat="1">
      <alignment horizontal="center" vertical="center"/>
    </xf>
    <xf borderId="8" fillId="0" fontId="4" numFmtId="0" xfId="0" applyBorder="1" applyFont="1"/>
    <xf borderId="10" fillId="6" fontId="9" numFmtId="0" xfId="0" applyAlignment="1" applyBorder="1" applyFill="1" applyFont="1">
      <alignment horizontal="center" readingOrder="0" vertical="center"/>
    </xf>
    <xf borderId="8" fillId="0" fontId="10" numFmtId="0" xfId="0" applyAlignment="1" applyBorder="1" applyFont="1">
      <alignment horizontal="center" readingOrder="0" vertical="center"/>
    </xf>
    <xf borderId="10" fillId="6" fontId="11" numFmtId="0" xfId="0" applyAlignment="1" applyBorder="1" applyFill="1" applyFont="1">
      <alignment horizontal="center" readingOrder="0" vertical="center"/>
    </xf>
    <xf borderId="10" fillId="0" fontId="12" numFmtId="0" xfId="0" applyAlignment="1" applyBorder="1" applyFont="1">
      <alignment horizontal="center" vertical="center"/>
    </xf>
    <xf borderId="10" fillId="0" fontId="11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5" fillId="0" fontId="8" numFmtId="0" xfId="0" applyAlignment="1" applyBorder="1" applyFont="1">
      <alignment horizontal="center" readingOrder="0" vertical="center"/>
    </xf>
    <xf borderId="11" fillId="0" fontId="9" numFmtId="0" xfId="0" applyAlignment="1" applyBorder="1" applyFont="1">
      <alignment horizontal="center" readingOrder="0" vertical="center"/>
    </xf>
    <xf borderId="11" fillId="6" fontId="9" numFmtId="0" xfId="0" applyAlignment="1" applyBorder="1" applyFill="1" applyFont="1">
      <alignment horizontal="center" readingOrder="0" vertical="center"/>
    </xf>
    <xf borderId="12" fillId="0" fontId="10" numFmtId="0" xfId="0" applyAlignment="1" applyBorder="1" applyFont="1">
      <alignment horizontal="center" readingOrder="0" vertical="center"/>
    </xf>
    <xf borderId="5" fillId="0" fontId="10" numFmtId="0" xfId="0" applyAlignment="1" applyBorder="1" applyFont="1">
      <alignment horizontal="center" readingOrder="0" vertical="center"/>
    </xf>
    <xf borderId="11" fillId="0" fontId="11" numFmtId="0" xfId="0" applyAlignment="1" applyBorder="1" applyFont="1">
      <alignment horizontal="center" readingOrder="0" vertical="center"/>
    </xf>
    <xf borderId="11" fillId="6" fontId="11" numFmtId="0" xfId="0" applyAlignment="1" applyBorder="1" applyFill="1" applyFont="1">
      <alignment horizontal="center" readingOrder="0" vertical="center"/>
    </xf>
    <xf borderId="11" fillId="0" fontId="12" numFmtId="0" xfId="0" applyAlignment="1" applyBorder="1" applyFont="1">
      <alignment horizontal="center" vertical="center"/>
    </xf>
    <xf borderId="0" fillId="7" fontId="10" numFmtId="0" xfId="0" applyAlignment="1" applyFill="1" applyFont="1">
      <alignment horizontal="center" readingOrder="0" vertical="center"/>
    </xf>
    <xf borderId="8" fillId="7" fontId="10" numFmtId="0" xfId="0" applyAlignment="1" applyBorder="1" applyFill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8" fillId="0" fontId="11" numFmtId="0" xfId="0" applyAlignment="1" applyBorder="1" applyFont="1">
      <alignment horizontal="center" readingOrder="0" vertical="center"/>
    </xf>
    <xf borderId="0" fillId="0" fontId="13" numFmtId="0" xfId="0" applyAlignment="1" applyFont="1">
      <alignment vertical="center"/>
    </xf>
    <xf borderId="13" fillId="0" fontId="13" numFmtId="3" xfId="0" applyAlignment="1" applyBorder="1" applyFont="1" applyNumberForma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vertical="center"/>
    </xf>
    <xf borderId="10" fillId="0" fontId="13" numFmtId="0" xfId="0" applyAlignment="1" applyBorder="1" applyFont="1">
      <alignment horizontal="center" vertical="center"/>
    </xf>
    <xf borderId="10" fillId="0" fontId="13" numFmtId="3" xfId="0" applyAlignment="1" applyBorder="1" applyFont="1" applyNumberFormat="1">
      <alignment horizontal="center" vertical="center"/>
    </xf>
    <xf borderId="8" fillId="0" fontId="9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6" fontId="9" numFmtId="0" xfId="0" applyAlignment="1" applyFill="1" applyFont="1">
      <alignment horizontal="center" readingOrder="0" vertical="center"/>
    </xf>
    <xf borderId="5" fillId="0" fontId="9" numFmtId="0" xfId="0" applyAlignment="1" applyBorder="1" applyFont="1">
      <alignment horizontal="center" readingOrder="0" vertical="center"/>
    </xf>
    <xf borderId="11" fillId="0" fontId="13" numFmtId="0" xfId="0" applyAlignment="1" applyBorder="1" applyFont="1">
      <alignment horizontal="center" vertical="center"/>
    </xf>
    <xf borderId="13" fillId="0" fontId="13" numFmtId="0" xfId="0" applyAlignment="1" applyBorder="1" applyFont="1">
      <alignment vertical="center"/>
    </xf>
    <xf borderId="8" fillId="6" fontId="9" numFmtId="0" xfId="0" applyAlignment="1" applyBorder="1" applyFill="1" applyFont="1">
      <alignment horizontal="center" readingOrder="0" vertical="center"/>
    </xf>
    <xf borderId="13" fillId="0" fontId="8" numFmtId="0" xfId="0" applyAlignment="1" applyBorder="1" applyFont="1">
      <alignment horizontal="center" readingOrder="0" vertical="center"/>
    </xf>
    <xf borderId="13" fillId="0" fontId="9" numFmtId="0" xfId="0" applyAlignment="1" applyBorder="1" applyFont="1">
      <alignment horizontal="center" readingOrder="0" vertical="center"/>
    </xf>
    <xf borderId="13" fillId="6" fontId="9" numFmtId="0" xfId="0" applyAlignment="1" applyBorder="1" applyFill="1" applyFont="1">
      <alignment horizontal="center" readingOrder="0" vertical="center"/>
    </xf>
    <xf borderId="13" fillId="0" fontId="13" numFmtId="0" xfId="0" applyAlignment="1" applyBorder="1" applyFont="1">
      <alignment horizontal="center" vertical="center"/>
    </xf>
    <xf borderId="14" fillId="0" fontId="4" numFmtId="0" xfId="0" applyBorder="1" applyFont="1"/>
    <xf borderId="15" fillId="6" fontId="9" numFmtId="0" xfId="0" applyAlignment="1" applyBorder="1" applyFill="1" applyFont="1">
      <alignment horizontal="center" readingOrder="0" vertical="center"/>
    </xf>
    <xf borderId="15" fillId="0" fontId="9" numFmtId="0" xfId="0" applyAlignment="1" applyBorder="1" applyFont="1">
      <alignment horizontal="center" readingOrder="0" vertical="center"/>
    </xf>
    <xf borderId="15" fillId="0" fontId="11" numFmtId="0" xfId="0" applyAlignment="1" applyBorder="1" applyFont="1">
      <alignment horizontal="center" readingOrder="0" vertical="center"/>
    </xf>
    <xf borderId="15" fillId="6" fontId="11" numFmtId="0" xfId="0" applyAlignment="1" applyBorder="1" applyFill="1" applyFont="1">
      <alignment horizontal="center" readingOrder="0" vertical="center"/>
    </xf>
    <xf borderId="15" fillId="0" fontId="12" numFmtId="0" xfId="0" applyAlignment="1" applyBorder="1" applyFont="1">
      <alignment horizontal="center" vertical="center"/>
    </xf>
    <xf borderId="8" fillId="5" fontId="7" numFmtId="0" xfId="0" applyAlignment="1" applyBorder="1" applyFill="1" applyFont="1">
      <alignment horizontal="center" readingOrder="0" vertical="center"/>
    </xf>
    <xf borderId="13" fillId="0" fontId="3" numFmtId="0" xfId="0" applyAlignment="1" applyBorder="1" applyFont="1">
      <alignment horizontal="center" readingOrder="0" vertical="center"/>
    </xf>
    <xf borderId="13" fillId="0" fontId="11" numFmtId="0" xfId="0" applyAlignment="1" applyBorder="1" applyFont="1">
      <alignment horizontal="center" readingOrder="0" vertical="center"/>
    </xf>
    <xf borderId="0" fillId="6" fontId="11" numFmtId="0" xfId="0" applyAlignment="1" applyFill="1" applyFont="1">
      <alignment horizontal="center" readingOrder="0" vertical="center"/>
    </xf>
    <xf borderId="8" fillId="0" fontId="12" numFmtId="0" xfId="0" applyAlignment="1" applyBorder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0"/>
    </xf>
    <xf borderId="8" fillId="0" fontId="9" numFmtId="0" xfId="0" applyAlignment="1" applyBorder="1" applyFont="1">
      <alignment horizontal="center" readingOrder="0" shrinkToFit="0" vertical="center" wrapText="0"/>
    </xf>
    <xf borderId="0" fillId="0" fontId="11" numFmtId="0" xfId="0" applyAlignment="1" applyFont="1">
      <alignment horizontal="center" readingOrder="0" shrinkToFit="0" vertical="center" wrapText="0"/>
    </xf>
    <xf borderId="5" fillId="6" fontId="9" numFmtId="0" xfId="0" applyAlignment="1" applyBorder="1" applyFill="1" applyFont="1">
      <alignment horizontal="center" readingOrder="0" vertical="center"/>
    </xf>
    <xf borderId="5" fillId="0" fontId="11" numFmtId="0" xfId="0" applyAlignment="1" applyBorder="1" applyFont="1">
      <alignment horizontal="center" readingOrder="0" vertical="center"/>
    </xf>
    <xf borderId="5" fillId="0" fontId="12" numFmtId="0" xfId="0" applyAlignment="1" applyBorder="1" applyFont="1">
      <alignment horizontal="center" vertical="center"/>
    </xf>
    <xf borderId="8" fillId="6" fontId="11" numFmtId="0" xfId="0" applyAlignment="1" applyBorder="1" applyFill="1" applyFont="1">
      <alignment horizontal="center" readingOrder="0" vertical="center"/>
    </xf>
    <xf borderId="13" fillId="0" fontId="10" numFmtId="0" xfId="0" applyAlignment="1" applyBorder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14" fillId="6" fontId="9" numFmtId="0" xfId="0" applyAlignment="1" applyBorder="1" applyFill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8" fillId="8" fontId="9" numFmtId="0" xfId="0" applyAlignment="1" applyBorder="1" applyFill="1" applyFont="1">
      <alignment horizontal="center" readingOrder="0" vertical="center"/>
    </xf>
    <xf borderId="16" fillId="0" fontId="11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readingOrder="0" shrinkToFit="0" vertical="center" wrapText="0"/>
    </xf>
    <xf borderId="0" fillId="0" fontId="13" numFmtId="0" xfId="0" applyFont="1"/>
    <xf borderId="0" fillId="0" fontId="13" numFmtId="3" xfId="0" applyAlignment="1" applyFont="1" applyNumberFormat="1">
      <alignment horizontal="center"/>
    </xf>
    <xf borderId="8" fillId="0" fontId="11" numFmtId="0" xfId="0" applyAlignment="1" applyBorder="1" applyFont="1">
      <alignment horizontal="center" readingOrder="0" shrinkToFit="0" vertical="center" wrapText="0"/>
    </xf>
    <xf borderId="12" fillId="0" fontId="13" numFmtId="0" xfId="0" applyBorder="1" applyFont="1"/>
    <xf borderId="12" fillId="0" fontId="13" numFmtId="3" xfId="0" applyAlignment="1" applyBorder="1" applyFont="1" applyNumberFormat="1">
      <alignment horizontal="center"/>
    </xf>
    <xf borderId="5" fillId="8" fontId="9" numFmtId="0" xfId="0" applyAlignment="1" applyBorder="1" applyFill="1" applyFont="1">
      <alignment horizontal="center" readingOrder="0" vertical="center"/>
    </xf>
    <xf borderId="0" fillId="0" fontId="13" numFmtId="0" xfId="0" applyAlignment="1" applyFont="1">
      <alignment horizontal="center"/>
    </xf>
    <xf borderId="12" fillId="7" fontId="10" numFmtId="0" xfId="0" applyAlignment="1" applyBorder="1" applyFill="1" applyFont="1">
      <alignment horizontal="center" readingOrder="0" vertical="center"/>
    </xf>
    <xf borderId="5" fillId="0" fontId="11" numFmtId="0" xfId="0" applyAlignment="1" applyBorder="1" applyFont="1">
      <alignment horizontal="center" readingOrder="0" shrinkToFit="0" vertical="center" wrapText="0"/>
    </xf>
    <xf borderId="5" fillId="0" fontId="9" numFmtId="0" xfId="0" applyAlignment="1" applyBorder="1" applyFont="1">
      <alignment horizontal="center" readingOrder="0" shrinkToFit="0" vertical="center" wrapText="0"/>
    </xf>
    <xf borderId="11" fillId="0" fontId="9" numFmtId="0" xfId="0" applyAlignment="1" applyBorder="1" applyFont="1">
      <alignment horizontal="center" readingOrder="0" shrinkToFit="0" vertical="center" wrapText="0"/>
    </xf>
    <xf borderId="8" fillId="9" fontId="7" numFmtId="0" xfId="0" applyAlignment="1" applyBorder="1" applyFill="1" applyFont="1">
      <alignment horizontal="center" readingOrder="0" vertical="center"/>
    </xf>
    <xf borderId="12" fillId="0" fontId="13" numFmtId="0" xfId="0" applyAlignment="1" applyBorder="1" applyFont="1">
      <alignment horizontal="center"/>
    </xf>
    <xf borderId="8" fillId="10" fontId="7" numFmtId="0" xfId="0" applyAlignment="1" applyBorder="1" applyFill="1" applyFont="1">
      <alignment horizontal="center" readingOrder="0" vertical="center"/>
    </xf>
    <xf borderId="13" fillId="0" fontId="13" numFmtId="0" xfId="0" applyAlignment="1" applyBorder="1" applyFont="1">
      <alignment horizontal="center"/>
    </xf>
    <xf borderId="18" fillId="0" fontId="13" numFmtId="0" xfId="0" applyBorder="1" applyFont="1"/>
    <xf borderId="13" fillId="6" fontId="11" numFmtId="0" xfId="0" applyAlignment="1" applyBorder="1" applyFill="1" applyFont="1">
      <alignment horizontal="center" readingOrder="0" vertical="center"/>
    </xf>
    <xf borderId="13" fillId="0" fontId="12" numFmtId="0" xfId="0" applyAlignment="1" applyBorder="1" applyFont="1">
      <alignment horizontal="center" vertical="center"/>
    </xf>
    <xf borderId="18" fillId="7" fontId="10" numFmtId="0" xfId="0" applyAlignment="1" applyBorder="1" applyFill="1" applyFont="1">
      <alignment horizontal="center" readingOrder="0" vertical="center"/>
    </xf>
    <xf borderId="5" fillId="7" fontId="10" numFmtId="0" xfId="0" applyAlignment="1" applyBorder="1" applyFill="1" applyFont="1">
      <alignment horizontal="center" readingOrder="0" vertical="center"/>
    </xf>
    <xf borderId="5" fillId="6" fontId="11" numFmtId="0" xfId="0" applyAlignment="1" applyBorder="1" applyFill="1" applyFont="1">
      <alignment horizontal="center" readingOrder="0" vertical="center"/>
    </xf>
    <xf borderId="12" fillId="0" fontId="2" numFmtId="0" xfId="0" applyBorder="1" applyFont="1"/>
    <xf borderId="8" fillId="11" fontId="7" numFmtId="0" xfId="0" applyAlignment="1" applyBorder="1" applyFill="1" applyFont="1">
      <alignment horizontal="center" readingOrder="0" vertical="center"/>
    </xf>
    <xf borderId="10" fillId="6" fontId="8" numFmtId="0" xfId="0" applyAlignment="1" applyBorder="1" applyFill="1" applyFont="1">
      <alignment horizontal="center" readingOrder="0" vertical="center"/>
    </xf>
    <xf borderId="7" fillId="11" fontId="7" numFmtId="0" xfId="0" applyAlignment="1" applyBorder="1" applyFill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7" fillId="0" fontId="8" numFmtId="0" xfId="0" applyAlignment="1" applyBorder="1" applyFont="1">
      <alignment horizontal="center" readingOrder="0" vertical="center"/>
    </xf>
    <xf borderId="1" fillId="0" fontId="11" numFmtId="0" xfId="0" applyAlignment="1" applyBorder="1" applyFont="1">
      <alignment horizontal="center" readingOrder="0" vertical="center"/>
    </xf>
    <xf borderId="9" fillId="0" fontId="12" numFmtId="0" xfId="0" applyAlignment="1" applyBorder="1" applyFont="1">
      <alignment horizontal="center" readingOrder="0" vertical="center"/>
    </xf>
    <xf borderId="13" fillId="0" fontId="13" numFmtId="0" xfId="0" applyBorder="1" applyFont="1"/>
    <xf borderId="10" fillId="0" fontId="12" numFmtId="0" xfId="0" applyAlignment="1" applyBorder="1" applyFont="1">
      <alignment horizontal="center" readingOrder="0" vertical="center"/>
    </xf>
    <xf borderId="0" fillId="0" fontId="13" numFmtId="3" xfId="0" applyFont="1" applyNumberFormat="1"/>
    <xf borderId="9" fillId="6" fontId="9" numFmtId="0" xfId="0" applyAlignment="1" applyBorder="1" applyFill="1" applyFont="1">
      <alignment horizontal="center" readingOrder="0" shrinkToFit="0" vertical="center" wrapText="0"/>
    </xf>
    <xf borderId="9" fillId="0" fontId="9" numFmtId="0" xfId="0" applyAlignment="1" applyBorder="1" applyFont="1">
      <alignment horizontal="center" readingOrder="0" shrinkToFit="0" vertical="center" wrapText="0"/>
    </xf>
    <xf borderId="1" fillId="6" fontId="11" numFmtId="0" xfId="0" applyAlignment="1" applyBorder="1" applyFill="1" applyFont="1">
      <alignment horizontal="center" readingOrder="0" vertical="center"/>
    </xf>
    <xf borderId="1" fillId="6" fontId="11" numFmtId="0" xfId="0" applyAlignment="1" applyBorder="1" applyFill="1" applyFont="1">
      <alignment horizontal="center" readingOrder="0" shrinkToFit="0" vertical="center" wrapText="0"/>
    </xf>
    <xf borderId="9" fillId="0" fontId="12" numFmtId="164" xfId="0" applyAlignment="1" applyBorder="1" applyFont="1" applyNumberFormat="1">
      <alignment horizontal="center" readingOrder="0" shrinkToFit="0" vertical="center" wrapText="0"/>
    </xf>
    <xf borderId="0" fillId="0" fontId="8" numFmtId="0" xfId="0" applyAlignment="1" applyFont="1">
      <alignment horizontal="center" readingOrder="0" vertical="center"/>
    </xf>
    <xf borderId="0" fillId="6" fontId="9" numFmtId="0" xfId="0" applyAlignment="1" applyFill="1" applyFont="1">
      <alignment horizontal="center" readingOrder="0" shrinkToFit="0" vertical="center" wrapText="0"/>
    </xf>
    <xf borderId="10" fillId="0" fontId="12" numFmtId="164" xfId="0" applyAlignment="1" applyBorder="1" applyFont="1" applyNumberFormat="1">
      <alignment horizontal="center" readingOrder="0" shrinkToFit="0" vertical="center" wrapText="0"/>
    </xf>
    <xf borderId="10" fillId="6" fontId="9" numFmtId="0" xfId="0" applyAlignment="1" applyBorder="1" applyFill="1" applyFont="1">
      <alignment horizontal="center" readingOrder="0" shrinkToFit="0" vertical="center" wrapText="0"/>
    </xf>
    <xf borderId="10" fillId="0" fontId="9" numFmtId="0" xfId="0" applyAlignment="1" applyBorder="1" applyFont="1">
      <alignment horizontal="center" readingOrder="0" shrinkToFit="0" vertical="center" wrapText="0"/>
    </xf>
    <xf borderId="8" fillId="6" fontId="11" numFmtId="0" xfId="0" applyAlignment="1" applyBorder="1" applyFill="1" applyFont="1">
      <alignment horizontal="center" readingOrder="0" shrinkToFit="0" vertical="center" wrapText="0"/>
    </xf>
    <xf borderId="15" fillId="6" fontId="9" numFmtId="0" xfId="0" applyAlignment="1" applyBorder="1" applyFill="1" applyFont="1">
      <alignment horizontal="center" readingOrder="0" shrinkToFit="0" vertical="center" wrapText="0"/>
    </xf>
    <xf borderId="15" fillId="0" fontId="9" numFmtId="0" xfId="0" applyAlignment="1" applyBorder="1" applyFont="1">
      <alignment horizontal="center" readingOrder="0" shrinkToFit="0" vertical="center" wrapText="0"/>
    </xf>
    <xf borderId="5" fillId="6" fontId="11" numFmtId="0" xfId="0" applyAlignment="1" applyBorder="1" applyFill="1" applyFont="1">
      <alignment horizontal="center" readingOrder="0" shrinkToFit="0" vertical="center" wrapText="0"/>
    </xf>
    <xf borderId="15" fillId="0" fontId="12" numFmtId="164" xfId="0" applyAlignment="1" applyBorder="1" applyFont="1" applyNumberFormat="1">
      <alignment horizontal="center" readingOrder="0" shrinkToFit="0" vertical="center" wrapText="0"/>
    </xf>
    <xf borderId="0" fillId="11" fontId="7" numFmtId="0" xfId="0" applyAlignment="1" applyFill="1" applyFont="1">
      <alignment horizontal="center" readingOrder="0" vertical="center"/>
    </xf>
    <xf borderId="1" fillId="6" fontId="9" numFmtId="0" xfId="0" applyAlignment="1" applyBorder="1" applyFill="1" applyFont="1">
      <alignment horizontal="center" readingOrder="0" vertical="center"/>
    </xf>
    <xf borderId="13" fillId="7" fontId="10" numFmtId="0" xfId="0" applyAlignment="1" applyBorder="1" applyFill="1" applyFont="1">
      <alignment horizontal="center" readingOrder="0" vertical="center"/>
    </xf>
    <xf borderId="10" fillId="0" fontId="15" numFmtId="0" xfId="0" applyAlignment="1" applyBorder="1" applyFont="1">
      <alignment horizontal="center" readingOrder="0" vertical="center"/>
    </xf>
    <xf borderId="10" fillId="6" fontId="15" numFmtId="0" xfId="0" applyAlignment="1" applyBorder="1" applyFill="1" applyFont="1">
      <alignment horizontal="center" readingOrder="0" vertical="center"/>
    </xf>
    <xf borderId="1" fillId="0" fontId="2" numFmtId="0" xfId="0" applyAlignment="1" applyBorder="1" applyFont="1">
      <alignment vertical="center"/>
    </xf>
    <xf borderId="13" fillId="0" fontId="16" numFmtId="0" xfId="0" applyBorder="1" applyFont="1"/>
    <xf borderId="8" fillId="0" fontId="2" numFmtId="0" xfId="0" applyAlignment="1" applyBorder="1" applyFont="1">
      <alignment vertical="center"/>
    </xf>
    <xf borderId="12" fillId="0" fontId="4" numFmtId="0" xfId="0" applyBorder="1" applyFont="1"/>
    <xf borderId="12" fillId="0" fontId="3" numFmtId="0" xfId="0" applyAlignment="1" applyBorder="1" applyFont="1">
      <alignment horizontal="center" readingOrder="0" vertical="center"/>
    </xf>
    <xf borderId="18" fillId="0" fontId="8" numFmtId="0" xfId="0" applyAlignment="1" applyBorder="1" applyFont="1">
      <alignment horizontal="center" readingOrder="0" vertical="center"/>
    </xf>
    <xf borderId="18" fillId="0" fontId="9" numFmtId="0" xfId="0" applyAlignment="1" applyBorder="1" applyFont="1">
      <alignment horizontal="center" readingOrder="0" vertical="center"/>
    </xf>
    <xf borderId="12" fillId="0" fontId="9" numFmtId="0" xfId="0" applyAlignment="1" applyBorder="1" applyFont="1">
      <alignment horizontal="center" readingOrder="0" vertical="center"/>
    </xf>
    <xf borderId="12" fillId="0" fontId="11" numFmtId="0" xfId="0" applyAlignment="1" applyBorder="1" applyFont="1">
      <alignment horizontal="center" readingOrder="0" vertical="center"/>
    </xf>
    <xf borderId="11" fillId="0" fontId="15" numFmtId="0" xfId="0" applyAlignment="1" applyBorder="1" applyFont="1">
      <alignment horizontal="center" readingOrder="0" vertical="center"/>
    </xf>
    <xf borderId="11" fillId="6" fontId="15" numFmtId="0" xfId="0" applyAlignment="1" applyBorder="1" applyFill="1" applyFont="1">
      <alignment horizontal="center" readingOrder="0" vertical="center"/>
    </xf>
    <xf borderId="5" fillId="0" fontId="2" numFmtId="0" xfId="0" applyAlignment="1" applyBorder="1" applyFont="1">
      <alignment vertical="center"/>
    </xf>
    <xf borderId="8" fillId="12" fontId="7" numFmtId="0" xfId="0" applyAlignment="1" applyBorder="1" applyFill="1" applyFont="1">
      <alignment horizontal="center" readingOrder="0" vertical="center"/>
    </xf>
    <xf borderId="13" fillId="0" fontId="13" numFmtId="3" xfId="0" applyAlignment="1" applyBorder="1" applyFont="1" applyNumberFormat="1">
      <alignment horizontal="center"/>
    </xf>
    <xf borderId="7" fillId="12" fontId="7" numFmtId="0" xfId="0" applyAlignment="1" applyBorder="1" applyFill="1" applyFont="1">
      <alignment horizontal="center" readingOrder="0" vertical="center"/>
    </xf>
    <xf borderId="19" fillId="13" fontId="7" numFmtId="0" xfId="0" applyAlignment="1" applyBorder="1" applyFill="1" applyFont="1">
      <alignment horizontal="center" readingOrder="0" vertical="center"/>
    </xf>
    <xf borderId="20" fillId="0" fontId="9" numFmtId="0" xfId="0" applyAlignment="1" applyBorder="1" applyFont="1">
      <alignment horizontal="center" readingOrder="0" vertical="center"/>
    </xf>
    <xf borderId="21" fillId="0" fontId="9" numFmtId="0" xfId="0" applyAlignment="1" applyBorder="1" applyFont="1">
      <alignment horizontal="center" readingOrder="0" vertical="center"/>
    </xf>
    <xf borderId="13" fillId="0" fontId="4" numFmtId="0" xfId="0" applyBorder="1" applyFont="1"/>
    <xf borderId="13" fillId="0" fontId="6" numFmtId="0" xfId="0" applyAlignment="1" applyBorder="1" applyFon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10" fillId="0" fontId="13" numFmtId="0" xfId="0" applyAlignment="1" applyBorder="1" applyFont="1">
      <alignment vertical="center"/>
    </xf>
    <xf borderId="8" fillId="0" fontId="17" numFmtId="0" xfId="0" applyAlignment="1" applyBorder="1" applyFont="1">
      <alignment horizontal="center" readingOrder="0" vertical="center"/>
    </xf>
    <xf borderId="8" fillId="6" fontId="15" numFmtId="0" xfId="0" applyAlignment="1" applyBorder="1" applyFill="1" applyFont="1">
      <alignment horizontal="center" readingOrder="0" vertical="center"/>
    </xf>
    <xf borderId="8" fillId="0" fontId="15" numFmtId="0" xfId="0" applyAlignment="1" applyBorder="1" applyFont="1">
      <alignment horizontal="center" readingOrder="0" vertical="center"/>
    </xf>
    <xf borderId="8" fillId="0" fontId="15" numFmtId="0" xfId="0" applyAlignment="1" applyBorder="1" applyFont="1">
      <alignment horizontal="center" vertical="center"/>
    </xf>
    <xf borderId="10" fillId="0" fontId="15" numFmtId="0" xfId="0" applyAlignment="1" applyBorder="1" applyFont="1">
      <alignment horizontal="center" vertical="center"/>
    </xf>
    <xf borderId="10" fillId="0" fontId="2" numFmtId="0" xfId="0" applyAlignment="1" applyBorder="1" applyFont="1">
      <alignment vertical="center"/>
    </xf>
    <xf borderId="18" fillId="0" fontId="4" numFmtId="0" xfId="0" applyBorder="1" applyFont="1"/>
    <xf borderId="18" fillId="0" fontId="3" numFmtId="0" xfId="0" applyAlignment="1" applyBorder="1" applyFont="1">
      <alignment horizontal="center" readingOrder="0" vertical="center"/>
    </xf>
    <xf borderId="5" fillId="0" fontId="15" numFmtId="0" xfId="0" applyAlignment="1" applyBorder="1" applyFont="1">
      <alignment horizontal="center" readingOrder="0" vertical="center"/>
    </xf>
    <xf borderId="11" fillId="0" fontId="2" numFmtId="0" xfId="0" applyAlignment="1" applyBorder="1" applyFont="1">
      <alignment vertical="center"/>
    </xf>
    <xf borderId="0" fillId="3" fontId="2" numFmtId="0" xfId="0" applyAlignment="1" applyFill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52.png"/><Relationship Id="rId42" Type="http://schemas.openxmlformats.org/officeDocument/2006/relationships/image" Target="../media/image29.png"/><Relationship Id="rId41" Type="http://schemas.openxmlformats.org/officeDocument/2006/relationships/image" Target="../media/image26.png"/><Relationship Id="rId44" Type="http://schemas.openxmlformats.org/officeDocument/2006/relationships/image" Target="../media/image27.png"/><Relationship Id="rId43" Type="http://schemas.openxmlformats.org/officeDocument/2006/relationships/image" Target="../media/image53.png"/><Relationship Id="rId46" Type="http://schemas.openxmlformats.org/officeDocument/2006/relationships/image" Target="../media/image44.png"/><Relationship Id="rId45" Type="http://schemas.openxmlformats.org/officeDocument/2006/relationships/image" Target="../media/image54.png"/><Relationship Id="rId1" Type="http://schemas.openxmlformats.org/officeDocument/2006/relationships/image" Target="../media/image12.png"/><Relationship Id="rId2" Type="http://schemas.openxmlformats.org/officeDocument/2006/relationships/image" Target="../media/image2.png"/><Relationship Id="rId3" Type="http://schemas.openxmlformats.org/officeDocument/2006/relationships/image" Target="../media/image1.png"/><Relationship Id="rId4" Type="http://schemas.openxmlformats.org/officeDocument/2006/relationships/image" Target="../media/image4.png"/><Relationship Id="rId9" Type="http://schemas.openxmlformats.org/officeDocument/2006/relationships/image" Target="../media/image20.png"/><Relationship Id="rId48" Type="http://schemas.openxmlformats.org/officeDocument/2006/relationships/image" Target="../media/image25.png"/><Relationship Id="rId47" Type="http://schemas.openxmlformats.org/officeDocument/2006/relationships/image" Target="../media/image43.png"/><Relationship Id="rId49" Type="http://schemas.openxmlformats.org/officeDocument/2006/relationships/image" Target="../media/image46.png"/><Relationship Id="rId5" Type="http://schemas.openxmlformats.org/officeDocument/2006/relationships/image" Target="../media/image9.png"/><Relationship Id="rId6" Type="http://schemas.openxmlformats.org/officeDocument/2006/relationships/image" Target="../media/image19.png"/><Relationship Id="rId7" Type="http://schemas.openxmlformats.org/officeDocument/2006/relationships/image" Target="../media/image8.png"/><Relationship Id="rId8" Type="http://schemas.openxmlformats.org/officeDocument/2006/relationships/image" Target="../media/image3.png"/><Relationship Id="rId31" Type="http://schemas.openxmlformats.org/officeDocument/2006/relationships/image" Target="../media/image39.png"/><Relationship Id="rId30" Type="http://schemas.openxmlformats.org/officeDocument/2006/relationships/image" Target="../media/image35.png"/><Relationship Id="rId33" Type="http://schemas.openxmlformats.org/officeDocument/2006/relationships/image" Target="../media/image36.png"/><Relationship Id="rId32" Type="http://schemas.openxmlformats.org/officeDocument/2006/relationships/image" Target="../media/image42.png"/><Relationship Id="rId35" Type="http://schemas.openxmlformats.org/officeDocument/2006/relationships/image" Target="../media/image41.png"/><Relationship Id="rId34" Type="http://schemas.openxmlformats.org/officeDocument/2006/relationships/image" Target="../media/image48.png"/><Relationship Id="rId37" Type="http://schemas.openxmlformats.org/officeDocument/2006/relationships/image" Target="../media/image49.png"/><Relationship Id="rId36" Type="http://schemas.openxmlformats.org/officeDocument/2006/relationships/image" Target="../media/image50.png"/><Relationship Id="rId39" Type="http://schemas.openxmlformats.org/officeDocument/2006/relationships/image" Target="../media/image32.png"/><Relationship Id="rId38" Type="http://schemas.openxmlformats.org/officeDocument/2006/relationships/image" Target="../media/image40.png"/><Relationship Id="rId20" Type="http://schemas.openxmlformats.org/officeDocument/2006/relationships/image" Target="../media/image11.png"/><Relationship Id="rId22" Type="http://schemas.openxmlformats.org/officeDocument/2006/relationships/image" Target="../media/image6.png"/><Relationship Id="rId21" Type="http://schemas.openxmlformats.org/officeDocument/2006/relationships/image" Target="../media/image23.png"/><Relationship Id="rId24" Type="http://schemas.openxmlformats.org/officeDocument/2006/relationships/image" Target="../media/image13.png"/><Relationship Id="rId23" Type="http://schemas.openxmlformats.org/officeDocument/2006/relationships/image" Target="../media/image22.png"/><Relationship Id="rId26" Type="http://schemas.openxmlformats.org/officeDocument/2006/relationships/image" Target="../media/image37.png"/><Relationship Id="rId25" Type="http://schemas.openxmlformats.org/officeDocument/2006/relationships/image" Target="../media/image34.png"/><Relationship Id="rId28" Type="http://schemas.openxmlformats.org/officeDocument/2006/relationships/image" Target="../media/image28.png"/><Relationship Id="rId27" Type="http://schemas.openxmlformats.org/officeDocument/2006/relationships/image" Target="../media/image30.png"/><Relationship Id="rId29" Type="http://schemas.openxmlformats.org/officeDocument/2006/relationships/image" Target="../media/image38.png"/><Relationship Id="rId51" Type="http://schemas.openxmlformats.org/officeDocument/2006/relationships/image" Target="../media/image33.png"/><Relationship Id="rId50" Type="http://schemas.openxmlformats.org/officeDocument/2006/relationships/image" Target="../media/image45.png"/><Relationship Id="rId53" Type="http://schemas.openxmlformats.org/officeDocument/2006/relationships/image" Target="../media/image31.png"/><Relationship Id="rId52" Type="http://schemas.openxmlformats.org/officeDocument/2006/relationships/image" Target="../media/image47.png"/><Relationship Id="rId11" Type="http://schemas.openxmlformats.org/officeDocument/2006/relationships/image" Target="../media/image7.png"/><Relationship Id="rId10" Type="http://schemas.openxmlformats.org/officeDocument/2006/relationships/image" Target="../media/image16.png"/><Relationship Id="rId54" Type="http://schemas.openxmlformats.org/officeDocument/2006/relationships/image" Target="../media/image51.png"/><Relationship Id="rId13" Type="http://schemas.openxmlformats.org/officeDocument/2006/relationships/image" Target="../media/image15.png"/><Relationship Id="rId12" Type="http://schemas.openxmlformats.org/officeDocument/2006/relationships/image" Target="../media/image21.png"/><Relationship Id="rId15" Type="http://schemas.openxmlformats.org/officeDocument/2006/relationships/image" Target="../media/image5.png"/><Relationship Id="rId14" Type="http://schemas.openxmlformats.org/officeDocument/2006/relationships/image" Target="../media/image14.png"/><Relationship Id="rId17" Type="http://schemas.openxmlformats.org/officeDocument/2006/relationships/image" Target="../media/image18.png"/><Relationship Id="rId16" Type="http://schemas.openxmlformats.org/officeDocument/2006/relationships/image" Target="../media/image10.png"/><Relationship Id="rId19" Type="http://schemas.openxmlformats.org/officeDocument/2006/relationships/image" Target="../media/image24.png"/><Relationship Id="rId18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47625</xdr:colOff>
      <xdr:row>24</xdr:row>
      <xdr:rowOff>28575</xdr:rowOff>
    </xdr:from>
    <xdr:ext cx="342900" cy="476250"/>
    <xdr:pic>
      <xdr:nvPicPr>
        <xdr:cNvPr id="0" name="image1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390525" cy="552450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390525" cy="552450"/>
    <xdr:pic>
      <xdr:nvPicPr>
        <xdr:cNvPr id="0" name="image1.png" title="이미지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390525" cy="552450"/>
    <xdr:pic>
      <xdr:nvPicPr>
        <xdr:cNvPr id="0" name="image4.png" title="이미지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390525" cy="552450"/>
    <xdr:pic>
      <xdr:nvPicPr>
        <xdr:cNvPr id="0" name="image9.png" title="이미지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390525" cy="552450"/>
    <xdr:pic>
      <xdr:nvPicPr>
        <xdr:cNvPr id="0" name="image19.png" title="이미지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390525" cy="552450"/>
    <xdr:pic>
      <xdr:nvPicPr>
        <xdr:cNvPr id="0" name="image8.png" title="이미지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390525" cy="552450"/>
    <xdr:pic>
      <xdr:nvPicPr>
        <xdr:cNvPr id="0" name="image3.png" title="이미지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390525" cy="552450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390525" cy="552450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390525" cy="552450"/>
    <xdr:pic>
      <xdr:nvPicPr>
        <xdr:cNvPr id="0" name="image1.png" title="이미지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390525" cy="552450"/>
    <xdr:pic>
      <xdr:nvPicPr>
        <xdr:cNvPr id="0" name="image4.png" title="이미지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390525" cy="552450"/>
    <xdr:pic>
      <xdr:nvPicPr>
        <xdr:cNvPr id="0" name="image4.png" title="이미지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390525" cy="552450"/>
    <xdr:pic>
      <xdr:nvPicPr>
        <xdr:cNvPr id="0" name="image9.png" title="이미지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390525" cy="552450"/>
    <xdr:pic>
      <xdr:nvPicPr>
        <xdr:cNvPr id="0" name="image19.png" title="이미지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390525" cy="552450"/>
    <xdr:pic>
      <xdr:nvPicPr>
        <xdr:cNvPr id="0" name="image8.png" title="이미지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390525" cy="552450"/>
    <xdr:pic>
      <xdr:nvPicPr>
        <xdr:cNvPr id="0" name="image3.png" title="이미지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390525" cy="552450"/>
    <xdr:pic>
      <xdr:nvPicPr>
        <xdr:cNvPr id="0" name="image20.png" title="이미지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390525" cy="552450"/>
    <xdr:pic>
      <xdr:nvPicPr>
        <xdr:cNvPr id="0" name="image16.png" title="이미지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390525" cy="552450"/>
    <xdr:pic>
      <xdr:nvPicPr>
        <xdr:cNvPr id="0" name="image7.png" title="이미지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390525" cy="552450"/>
    <xdr:pic>
      <xdr:nvPicPr>
        <xdr:cNvPr id="0" name="image21.png" title="이미지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390525" cy="552450"/>
    <xdr:pic>
      <xdr:nvPicPr>
        <xdr:cNvPr id="0" name="image15.png" title="이미지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390525" cy="552450"/>
    <xdr:pic>
      <xdr:nvPicPr>
        <xdr:cNvPr id="0" name="image1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390525" cy="552450"/>
    <xdr:pic>
      <xdr:nvPicPr>
        <xdr:cNvPr id="0" name="image14.png" title="이미지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390525" cy="552450"/>
    <xdr:pic>
      <xdr:nvPicPr>
        <xdr:cNvPr id="0" name="image5.png" title="이미지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390525" cy="552450"/>
    <xdr:pic>
      <xdr:nvPicPr>
        <xdr:cNvPr id="0" name="image10.png" title="이미지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390525" cy="552450"/>
    <xdr:pic>
      <xdr:nvPicPr>
        <xdr:cNvPr id="0" name="image18.png" title="이미지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390525" cy="552450"/>
    <xdr:pic>
      <xdr:nvPicPr>
        <xdr:cNvPr id="0" name="image20.png" title="이미지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390525" cy="552450"/>
    <xdr:pic>
      <xdr:nvPicPr>
        <xdr:cNvPr id="0" name="image16.png" title="이미지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390525" cy="552450"/>
    <xdr:pic>
      <xdr:nvPicPr>
        <xdr:cNvPr id="0" name="image16.png" title="이미지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390525" cy="552450"/>
    <xdr:pic>
      <xdr:nvPicPr>
        <xdr:cNvPr id="0" name="image7.png" title="이미지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390525" cy="552450"/>
    <xdr:pic>
      <xdr:nvPicPr>
        <xdr:cNvPr id="0" name="image21.png" title="이미지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390525" cy="552450"/>
    <xdr:pic>
      <xdr:nvPicPr>
        <xdr:cNvPr id="0" name="image15.png" title="이미지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390525" cy="552450"/>
    <xdr:pic>
      <xdr:nvPicPr>
        <xdr:cNvPr id="0" name="image1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390525" cy="552450"/>
    <xdr:pic>
      <xdr:nvPicPr>
        <xdr:cNvPr id="0" name="image1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390525" cy="552450"/>
    <xdr:pic>
      <xdr:nvPicPr>
        <xdr:cNvPr id="0" name="image14.png" title="이미지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390525" cy="552450"/>
    <xdr:pic>
      <xdr:nvPicPr>
        <xdr:cNvPr id="0" name="image5.png" title="이미지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390525" cy="552450"/>
    <xdr:pic>
      <xdr:nvPicPr>
        <xdr:cNvPr id="0" name="image10.png" title="이미지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390525" cy="552450"/>
    <xdr:pic>
      <xdr:nvPicPr>
        <xdr:cNvPr id="0" name="image18.png" title="이미지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390525" cy="552450"/>
    <xdr:pic>
      <xdr:nvPicPr>
        <xdr:cNvPr id="0" name="image17.png" title="이미지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390525" cy="552450"/>
    <xdr:pic>
      <xdr:nvPicPr>
        <xdr:cNvPr id="0" name="image24.png" title="이미지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390525" cy="552450"/>
    <xdr:pic>
      <xdr:nvPicPr>
        <xdr:cNvPr id="0" name="image11.png" title="이미지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390525" cy="552450"/>
    <xdr:pic>
      <xdr:nvPicPr>
        <xdr:cNvPr id="0" name="image23.png" title="이미지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390525" cy="552450"/>
    <xdr:pic>
      <xdr:nvPicPr>
        <xdr:cNvPr id="0" name="image6.png" title="이미지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390525" cy="552450"/>
    <xdr:pic>
      <xdr:nvPicPr>
        <xdr:cNvPr id="0" name="image22.png" title="이미지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390525" cy="552450"/>
    <xdr:pic>
      <xdr:nvPicPr>
        <xdr:cNvPr id="0" name="image17.png" title="이미지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390525" cy="552450"/>
    <xdr:pic>
      <xdr:nvPicPr>
        <xdr:cNvPr id="0" name="image24.png" title="이미지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390525" cy="552450"/>
    <xdr:pic>
      <xdr:nvPicPr>
        <xdr:cNvPr id="0" name="image11.png" title="이미지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390525" cy="552450"/>
    <xdr:pic>
      <xdr:nvPicPr>
        <xdr:cNvPr id="0" name="image23.png" title="이미지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390525" cy="552450"/>
    <xdr:pic>
      <xdr:nvPicPr>
        <xdr:cNvPr id="0" name="image6.png" title="이미지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390525" cy="552450"/>
    <xdr:pic>
      <xdr:nvPicPr>
        <xdr:cNvPr id="0" name="image22.png" title="이미지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390525" cy="552450"/>
    <xdr:pic>
      <xdr:nvPicPr>
        <xdr:cNvPr id="0" name="image13.png" title="이미지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390525" cy="552450"/>
    <xdr:pic>
      <xdr:nvPicPr>
        <xdr:cNvPr id="0" name="image34.png" title="이미지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390525" cy="552450"/>
    <xdr:pic>
      <xdr:nvPicPr>
        <xdr:cNvPr id="0" name="image37.png" title="이미지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381000" cy="552450"/>
    <xdr:pic>
      <xdr:nvPicPr>
        <xdr:cNvPr id="0" name="image30.png" title="이미지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390525" cy="552450"/>
    <xdr:pic>
      <xdr:nvPicPr>
        <xdr:cNvPr id="0" name="image28.png" title="이미지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381000" cy="552450"/>
    <xdr:pic>
      <xdr:nvPicPr>
        <xdr:cNvPr id="0" name="image38.png" title="이미지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381000" cy="552450"/>
    <xdr:pic>
      <xdr:nvPicPr>
        <xdr:cNvPr id="0" name="image35.png" title="이미지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390525" cy="552450"/>
    <xdr:pic>
      <xdr:nvPicPr>
        <xdr:cNvPr id="0" name="image39.png" title="이미지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381000" cy="552450"/>
    <xdr:pic>
      <xdr:nvPicPr>
        <xdr:cNvPr id="0" name="image42.png" title="이미지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381000" cy="552450"/>
    <xdr:pic>
      <xdr:nvPicPr>
        <xdr:cNvPr id="0" name="image36.png" title="이미지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381000" cy="552450"/>
    <xdr:pic>
      <xdr:nvPicPr>
        <xdr:cNvPr id="0" name="image48.png" title="이미지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381000" cy="552450"/>
    <xdr:pic>
      <xdr:nvPicPr>
        <xdr:cNvPr id="0" name="image41.png" title="이미지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381000" cy="552450"/>
    <xdr:pic>
      <xdr:nvPicPr>
        <xdr:cNvPr id="0" name="image50.png" title="이미지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381000" cy="552450"/>
    <xdr:pic>
      <xdr:nvPicPr>
        <xdr:cNvPr id="0" name="image49.png" title="이미지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390525" cy="552450"/>
    <xdr:pic>
      <xdr:nvPicPr>
        <xdr:cNvPr id="0" name="image13.png" title="이미지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390525" cy="552450"/>
    <xdr:pic>
      <xdr:nvPicPr>
        <xdr:cNvPr id="0" name="image34.png" title="이미지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390525" cy="552450"/>
    <xdr:pic>
      <xdr:nvPicPr>
        <xdr:cNvPr id="0" name="image37.png" title="이미지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381000" cy="552450"/>
    <xdr:pic>
      <xdr:nvPicPr>
        <xdr:cNvPr id="0" name="image30.png" title="이미지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390525" cy="552450"/>
    <xdr:pic>
      <xdr:nvPicPr>
        <xdr:cNvPr id="0" name="image28.png" title="이미지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381000" cy="552450"/>
    <xdr:pic>
      <xdr:nvPicPr>
        <xdr:cNvPr id="0" name="image38.png" title="이미지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381000" cy="552450"/>
    <xdr:pic>
      <xdr:nvPicPr>
        <xdr:cNvPr id="0" name="image35.png" title="이미지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390525" cy="552450"/>
    <xdr:pic>
      <xdr:nvPicPr>
        <xdr:cNvPr id="0" name="image39.png" title="이미지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381000" cy="552450"/>
    <xdr:pic>
      <xdr:nvPicPr>
        <xdr:cNvPr id="0" name="image42.png" title="이미지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381000" cy="552450"/>
    <xdr:pic>
      <xdr:nvPicPr>
        <xdr:cNvPr id="0" name="image36.png" title="이미지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381000" cy="552450"/>
    <xdr:pic>
      <xdr:nvPicPr>
        <xdr:cNvPr id="0" name="image48.png" title="이미지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381000" cy="552450"/>
    <xdr:pic>
      <xdr:nvPicPr>
        <xdr:cNvPr id="0" name="image41.png" title="이미지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381000" cy="552450"/>
    <xdr:pic>
      <xdr:nvPicPr>
        <xdr:cNvPr id="0" name="image50.png" title="이미지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381000" cy="552450"/>
    <xdr:pic>
      <xdr:nvPicPr>
        <xdr:cNvPr id="0" name="image49.png" title="이미지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390525" cy="542925"/>
    <xdr:pic>
      <xdr:nvPicPr>
        <xdr:cNvPr id="0" name="image40.png" title="이미지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390525" cy="542925"/>
    <xdr:pic>
      <xdr:nvPicPr>
        <xdr:cNvPr id="0" name="image40.png" title="이미지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390525" cy="542925"/>
    <xdr:pic>
      <xdr:nvPicPr>
        <xdr:cNvPr id="0" name="image32.png" title="이미지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390525" cy="542925"/>
    <xdr:pic>
      <xdr:nvPicPr>
        <xdr:cNvPr id="0" name="image32.png" title="이미지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390525" cy="552450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390525" cy="552450"/>
    <xdr:pic>
      <xdr:nvPicPr>
        <xdr:cNvPr id="0" name="image4.png" title="이미지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390525" cy="552450"/>
    <xdr:pic>
      <xdr:nvPicPr>
        <xdr:cNvPr id="0" name="image16.png" title="이미지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390525" cy="552450"/>
    <xdr:pic>
      <xdr:nvPicPr>
        <xdr:cNvPr id="0" name="image7.png" title="이미지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390525" cy="552450"/>
    <xdr:pic>
      <xdr:nvPicPr>
        <xdr:cNvPr id="0" name="image1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390525" cy="552450"/>
    <xdr:pic>
      <xdr:nvPicPr>
        <xdr:cNvPr id="0" name="image10.png" title="이미지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390525" cy="552450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390525" cy="552450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390525" cy="552450"/>
    <xdr:pic>
      <xdr:nvPicPr>
        <xdr:cNvPr id="0" name="image4.png" title="이미지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390525" cy="552450"/>
    <xdr:pic>
      <xdr:nvPicPr>
        <xdr:cNvPr id="0" name="image19.png" title="이미지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390525" cy="552450"/>
    <xdr:pic>
      <xdr:nvPicPr>
        <xdr:cNvPr id="0" name="image16.png" title="이미지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390525" cy="552450"/>
    <xdr:pic>
      <xdr:nvPicPr>
        <xdr:cNvPr id="0" name="image1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390525" cy="552450"/>
    <xdr:pic>
      <xdr:nvPicPr>
        <xdr:cNvPr id="0" name="image10.png" title="이미지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390525" cy="552450"/>
    <xdr:pic>
      <xdr:nvPicPr>
        <xdr:cNvPr id="0" name="image24.png" title="이미지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390525" cy="552450"/>
    <xdr:pic>
      <xdr:nvPicPr>
        <xdr:cNvPr id="0" name="image6.png" title="이미지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390525" cy="552450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390525" cy="552450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390525" cy="552450"/>
    <xdr:pic>
      <xdr:nvPicPr>
        <xdr:cNvPr id="0" name="image4.png" title="이미지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390525" cy="552450"/>
    <xdr:pic>
      <xdr:nvPicPr>
        <xdr:cNvPr id="0" name="image16.png" title="이미지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390525" cy="552450"/>
    <xdr:pic>
      <xdr:nvPicPr>
        <xdr:cNvPr id="0" name="image1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390525" cy="552450"/>
    <xdr:pic>
      <xdr:nvPicPr>
        <xdr:cNvPr id="0" name="image10.png" title="이미지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390525" cy="552450"/>
    <xdr:pic>
      <xdr:nvPicPr>
        <xdr:cNvPr id="0" name="image1.png" title="이미지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390525" cy="552450"/>
    <xdr:pic>
      <xdr:nvPicPr>
        <xdr:cNvPr id="0" name="image1.png" title="이미지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390525" cy="552450"/>
    <xdr:pic>
      <xdr:nvPicPr>
        <xdr:cNvPr id="0" name="image4.png" title="이미지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390525" cy="552450"/>
    <xdr:pic>
      <xdr:nvPicPr>
        <xdr:cNvPr id="0" name="image16.png" title="이미지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390525" cy="552450"/>
    <xdr:pic>
      <xdr:nvPicPr>
        <xdr:cNvPr id="0" name="image1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390525" cy="552450"/>
    <xdr:pic>
      <xdr:nvPicPr>
        <xdr:cNvPr id="0" name="image10.png" title="이미지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390525" cy="552450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390525" cy="552450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390525" cy="552450"/>
    <xdr:pic>
      <xdr:nvPicPr>
        <xdr:cNvPr id="0" name="image4.png" title="이미지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390525" cy="552450"/>
    <xdr:pic>
      <xdr:nvPicPr>
        <xdr:cNvPr id="0" name="image16.png" title="이미지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390525" cy="552450"/>
    <xdr:pic>
      <xdr:nvPicPr>
        <xdr:cNvPr id="0" name="image1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390525" cy="552450"/>
    <xdr:pic>
      <xdr:nvPicPr>
        <xdr:cNvPr id="0" name="image10.png" title="이미지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390525" cy="542925"/>
    <xdr:pic>
      <xdr:nvPicPr>
        <xdr:cNvPr id="0" name="image52.png" title="이미지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390525" cy="542925"/>
    <xdr:pic>
      <xdr:nvPicPr>
        <xdr:cNvPr id="0" name="image26.png" title="이미지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390525" cy="542925"/>
    <xdr:pic>
      <xdr:nvPicPr>
        <xdr:cNvPr id="0" name="image29.png" title="이미지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390525" cy="542925"/>
    <xdr:pic>
      <xdr:nvPicPr>
        <xdr:cNvPr id="0" name="image53.png" title="이미지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390525" cy="552450"/>
    <xdr:pic>
      <xdr:nvPicPr>
        <xdr:cNvPr id="0" name="image27.png" title="이미지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390525" cy="552450"/>
    <xdr:pic>
      <xdr:nvPicPr>
        <xdr:cNvPr id="0" name="image54.png" title="이미지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390525" cy="552450"/>
    <xdr:pic>
      <xdr:nvPicPr>
        <xdr:cNvPr id="0" name="image44.png" title="이미지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390525" cy="552450"/>
    <xdr:pic>
      <xdr:nvPicPr>
        <xdr:cNvPr id="0" name="image43.png" title="이미지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390525" cy="552450"/>
    <xdr:pic>
      <xdr:nvPicPr>
        <xdr:cNvPr id="0" name="image25.png" title="이미지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390525" cy="552450"/>
    <xdr:pic>
      <xdr:nvPicPr>
        <xdr:cNvPr id="0" name="image46.png" title="이미지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390525" cy="552450"/>
    <xdr:pic>
      <xdr:nvPicPr>
        <xdr:cNvPr id="0" name="image45.png" title="이미지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390525" cy="552450"/>
    <xdr:pic>
      <xdr:nvPicPr>
        <xdr:cNvPr id="0" name="image33.png" title="이미지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390525" cy="552450"/>
    <xdr:pic>
      <xdr:nvPicPr>
        <xdr:cNvPr id="0" name="image33.png" title="이미지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390525" cy="552450"/>
    <xdr:pic>
      <xdr:nvPicPr>
        <xdr:cNvPr id="0" name="image47.png" title="이미지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390525" cy="552450"/>
    <xdr:pic>
      <xdr:nvPicPr>
        <xdr:cNvPr id="0" name="image31.png" title="이미지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390525" cy="552450"/>
    <xdr:pic>
      <xdr:nvPicPr>
        <xdr:cNvPr id="0" name="image51.png" title="이미지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6B8AF"/>
    <outlinePr summaryBelow="0" summaryRight="0"/>
    <pageSetUpPr fitToPage="1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2.63" defaultRowHeight="15.75"/>
  <cols>
    <col customWidth="1" min="2" max="2" width="5.88"/>
    <col customWidth="1" min="8" max="9" width="15.38"/>
    <col customWidth="1" min="11" max="11" width="10.5"/>
    <col customWidth="1" min="15" max="15" width="16.75"/>
    <col customWidth="1" min="18" max="18" width="9.0"/>
    <col customWidth="1" min="23" max="23" width="4.5"/>
    <col customWidth="1" min="24" max="24" width="26.5"/>
  </cols>
  <sheetData>
    <row r="1" ht="24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>
      <c r="A2" s="3" t="s">
        <v>1</v>
      </c>
      <c r="B2" s="3"/>
      <c r="C2" s="4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5" t="s">
        <v>7</v>
      </c>
      <c r="I2" s="6"/>
      <c r="J2" s="3" t="s">
        <v>8</v>
      </c>
      <c r="K2" s="3" t="s">
        <v>9</v>
      </c>
      <c r="L2" s="7" t="s">
        <v>10</v>
      </c>
      <c r="M2" s="7" t="s">
        <v>11</v>
      </c>
      <c r="N2" s="8" t="s">
        <v>12</v>
      </c>
      <c r="O2" s="8" t="s">
        <v>13</v>
      </c>
      <c r="P2" s="7" t="s">
        <v>14</v>
      </c>
      <c r="Q2" s="8" t="s">
        <v>15</v>
      </c>
      <c r="R2" s="3" t="s">
        <v>16</v>
      </c>
      <c r="S2" s="9" t="s">
        <v>17</v>
      </c>
      <c r="T2" s="6"/>
      <c r="U2" s="3" t="s">
        <v>18</v>
      </c>
      <c r="V2" s="7" t="s">
        <v>19</v>
      </c>
      <c r="W2" s="2"/>
      <c r="X2" s="10" t="s">
        <v>20</v>
      </c>
      <c r="Y2" s="11" t="s">
        <v>21</v>
      </c>
      <c r="Z2" s="6"/>
      <c r="AA2" s="12"/>
    </row>
    <row r="3">
      <c r="A3" s="13"/>
      <c r="B3" s="13"/>
      <c r="C3" s="13"/>
      <c r="D3" s="13"/>
      <c r="E3" s="13"/>
      <c r="F3" s="13"/>
      <c r="G3" s="13"/>
      <c r="H3" s="14" t="s">
        <v>22</v>
      </c>
      <c r="I3" s="14" t="s">
        <v>23</v>
      </c>
      <c r="J3" s="13"/>
      <c r="K3" s="13"/>
      <c r="L3" s="13"/>
      <c r="M3" s="13"/>
      <c r="N3" s="15" t="s">
        <v>24</v>
      </c>
      <c r="O3" s="15" t="s">
        <v>25</v>
      </c>
      <c r="P3" s="13"/>
      <c r="Q3" s="15" t="s">
        <v>26</v>
      </c>
      <c r="R3" s="13"/>
      <c r="S3" s="15" t="s">
        <v>27</v>
      </c>
      <c r="T3" s="15" t="s">
        <v>28</v>
      </c>
      <c r="U3" s="13"/>
      <c r="V3" s="13"/>
      <c r="W3" s="2"/>
      <c r="X3" s="13"/>
      <c r="Y3" s="16" t="s">
        <v>29</v>
      </c>
      <c r="Z3" s="16" t="s">
        <v>30</v>
      </c>
      <c r="AA3" s="12"/>
    </row>
    <row r="4" ht="43.5" customHeight="1">
      <c r="A4" s="17" t="s">
        <v>31</v>
      </c>
      <c r="B4" s="18"/>
      <c r="C4" s="19" t="s">
        <v>32</v>
      </c>
      <c r="D4" s="20"/>
      <c r="E4" s="21" t="s">
        <v>33</v>
      </c>
      <c r="F4" s="20">
        <v>211.0</v>
      </c>
      <c r="G4" s="20" t="s">
        <v>34</v>
      </c>
      <c r="H4" s="22">
        <v>8.809668465068E12</v>
      </c>
      <c r="I4" s="23">
        <v>1.880966846506E12</v>
      </c>
      <c r="J4" s="20" t="s">
        <v>35</v>
      </c>
      <c r="K4" s="20">
        <v>1.0</v>
      </c>
      <c r="L4" s="24" t="s">
        <v>36</v>
      </c>
      <c r="M4" s="24" t="s">
        <v>37</v>
      </c>
      <c r="N4" s="24" t="s">
        <v>38</v>
      </c>
      <c r="O4" s="24" t="s">
        <v>39</v>
      </c>
      <c r="P4" s="20">
        <v>20.0</v>
      </c>
      <c r="Q4" s="25">
        <v>25.0</v>
      </c>
      <c r="R4" s="20" t="s">
        <v>40</v>
      </c>
      <c r="S4" s="26">
        <v>4.699</v>
      </c>
      <c r="T4" s="26">
        <v>5.4</v>
      </c>
      <c r="U4" s="26" t="s">
        <v>41</v>
      </c>
      <c r="V4" s="27"/>
      <c r="X4" s="28" t="s">
        <v>42</v>
      </c>
      <c r="Y4" s="29">
        <v>8000.0</v>
      </c>
      <c r="Z4" s="29">
        <f t="shared" ref="Z4:Z81" si="1">Y4*80%</f>
        <v>6400</v>
      </c>
    </row>
    <row r="5" ht="43.5" customHeight="1">
      <c r="A5" s="30"/>
      <c r="B5" s="18"/>
      <c r="C5" s="19" t="s">
        <v>43</v>
      </c>
      <c r="D5" s="31">
        <v>3130.0</v>
      </c>
      <c r="E5" s="31" t="s">
        <v>44</v>
      </c>
      <c r="F5" s="31">
        <v>611.0</v>
      </c>
      <c r="G5" s="31" t="s">
        <v>34</v>
      </c>
      <c r="H5" s="22">
        <v>8.809668465075E12</v>
      </c>
      <c r="I5" s="32">
        <v>1.880966846507E12</v>
      </c>
      <c r="J5" s="26" t="s">
        <v>35</v>
      </c>
      <c r="K5" s="31">
        <v>1.0</v>
      </c>
      <c r="L5" s="31" t="s">
        <v>45</v>
      </c>
      <c r="M5" s="31" t="s">
        <v>45</v>
      </c>
      <c r="N5" s="31" t="s">
        <v>38</v>
      </c>
      <c r="O5" s="26" t="s">
        <v>39</v>
      </c>
      <c r="P5" s="31">
        <v>20.0</v>
      </c>
      <c r="Q5" s="33">
        <v>25.0</v>
      </c>
      <c r="R5" s="26" t="s">
        <v>40</v>
      </c>
      <c r="S5" s="26" t="s">
        <v>46</v>
      </c>
      <c r="T5" s="26" t="s">
        <v>46</v>
      </c>
      <c r="U5" s="26" t="s">
        <v>41</v>
      </c>
      <c r="V5" s="34"/>
      <c r="X5" s="28" t="s">
        <v>47</v>
      </c>
      <c r="Y5" s="29">
        <v>8000.0</v>
      </c>
      <c r="Z5" s="29">
        <f t="shared" si="1"/>
        <v>6400</v>
      </c>
    </row>
    <row r="6" ht="43.5" customHeight="1">
      <c r="A6" s="30"/>
      <c r="B6" s="18"/>
      <c r="C6" s="19" t="s">
        <v>48</v>
      </c>
      <c r="D6" s="31">
        <v>3120.0</v>
      </c>
      <c r="E6" s="31" t="s">
        <v>49</v>
      </c>
      <c r="F6" s="31">
        <v>212.0</v>
      </c>
      <c r="G6" s="31" t="s">
        <v>34</v>
      </c>
      <c r="H6" s="22">
        <v>8.809668465082E12</v>
      </c>
      <c r="I6" s="32">
        <v>1.880966846508E12</v>
      </c>
      <c r="J6" s="26" t="s">
        <v>35</v>
      </c>
      <c r="K6" s="31">
        <v>2.0</v>
      </c>
      <c r="L6" s="33" t="s">
        <v>50</v>
      </c>
      <c r="M6" s="33" t="s">
        <v>51</v>
      </c>
      <c r="N6" s="31" t="s">
        <v>38</v>
      </c>
      <c r="O6" s="26" t="s">
        <v>39</v>
      </c>
      <c r="P6" s="31">
        <v>20.0</v>
      </c>
      <c r="Q6" s="33">
        <v>25.0</v>
      </c>
      <c r="R6" s="26" t="s">
        <v>40</v>
      </c>
      <c r="S6" s="26">
        <v>5.715</v>
      </c>
      <c r="T6" s="26">
        <v>5.41</v>
      </c>
      <c r="U6" s="26" t="s">
        <v>41</v>
      </c>
      <c r="V6" s="34"/>
      <c r="X6" s="28" t="s">
        <v>52</v>
      </c>
      <c r="Y6" s="29">
        <v>8000.0</v>
      </c>
      <c r="Z6" s="29">
        <f t="shared" si="1"/>
        <v>6400</v>
      </c>
    </row>
    <row r="7" ht="43.5" customHeight="1">
      <c r="A7" s="30"/>
      <c r="B7" s="18"/>
      <c r="C7" s="19" t="s">
        <v>53</v>
      </c>
      <c r="D7" s="26">
        <v>3203.0</v>
      </c>
      <c r="E7" s="31" t="s">
        <v>54</v>
      </c>
      <c r="F7" s="26"/>
      <c r="G7" s="26" t="s">
        <v>34</v>
      </c>
      <c r="H7" s="22">
        <v>8.809668465099E12</v>
      </c>
      <c r="I7" s="32">
        <v>1.880966846509E12</v>
      </c>
      <c r="J7" s="26" t="s">
        <v>35</v>
      </c>
      <c r="K7" s="26">
        <v>3.0</v>
      </c>
      <c r="L7" s="35" t="s">
        <v>55</v>
      </c>
      <c r="M7" s="35" t="s">
        <v>55</v>
      </c>
      <c r="N7" s="31" t="s">
        <v>38</v>
      </c>
      <c r="O7" s="26" t="s">
        <v>39</v>
      </c>
      <c r="P7" s="26">
        <v>20.0</v>
      </c>
      <c r="Q7" s="33">
        <v>25.0</v>
      </c>
      <c r="R7" s="26" t="s">
        <v>40</v>
      </c>
      <c r="S7" s="26">
        <v>14.0</v>
      </c>
      <c r="T7" s="26">
        <v>9.25</v>
      </c>
      <c r="U7" s="26" t="s">
        <v>41</v>
      </c>
      <c r="V7" s="34"/>
      <c r="X7" s="28" t="s">
        <v>56</v>
      </c>
      <c r="Y7" s="29">
        <v>8000.0</v>
      </c>
      <c r="Z7" s="29">
        <f t="shared" si="1"/>
        <v>6400</v>
      </c>
    </row>
    <row r="8" ht="43.5" customHeight="1">
      <c r="A8" s="30"/>
      <c r="B8" s="18"/>
      <c r="C8" s="19" t="s">
        <v>57</v>
      </c>
      <c r="D8" s="26">
        <v>3118.0</v>
      </c>
      <c r="E8" s="31" t="s">
        <v>58</v>
      </c>
      <c r="F8" s="26">
        <v>614.0</v>
      </c>
      <c r="G8" s="26" t="s">
        <v>34</v>
      </c>
      <c r="H8" s="22">
        <v>8.809668465105E12</v>
      </c>
      <c r="I8" s="32">
        <v>1.88096684651E12</v>
      </c>
      <c r="J8" s="26" t="s">
        <v>35</v>
      </c>
      <c r="K8" s="26">
        <v>4.0</v>
      </c>
      <c r="L8" s="35" t="s">
        <v>59</v>
      </c>
      <c r="M8" s="35" t="s">
        <v>60</v>
      </c>
      <c r="N8" s="31" t="s">
        <v>38</v>
      </c>
      <c r="O8" s="26" t="s">
        <v>39</v>
      </c>
      <c r="P8" s="26">
        <v>20.0</v>
      </c>
      <c r="Q8" s="33">
        <v>25.0</v>
      </c>
      <c r="R8" s="26" t="s">
        <v>40</v>
      </c>
      <c r="S8" s="26">
        <v>9.89</v>
      </c>
      <c r="T8" s="26">
        <v>4.99</v>
      </c>
      <c r="U8" s="26" t="s">
        <v>41</v>
      </c>
      <c r="V8" s="34"/>
      <c r="X8" s="28" t="s">
        <v>61</v>
      </c>
      <c r="Y8" s="29">
        <v>8000.0</v>
      </c>
      <c r="Z8" s="29">
        <f t="shared" si="1"/>
        <v>6400</v>
      </c>
    </row>
    <row r="9" ht="43.5" customHeight="1">
      <c r="A9" s="30"/>
      <c r="B9" s="18"/>
      <c r="C9" s="19" t="s">
        <v>62</v>
      </c>
      <c r="D9" s="26">
        <v>3116.0</v>
      </c>
      <c r="E9" s="31" t="s">
        <v>63</v>
      </c>
      <c r="F9" s="26"/>
      <c r="G9" s="26" t="s">
        <v>34</v>
      </c>
      <c r="H9" s="22">
        <v>8.809668465112E12</v>
      </c>
      <c r="I9" s="32">
        <v>1.880966846511E12</v>
      </c>
      <c r="J9" s="26" t="s">
        <v>35</v>
      </c>
      <c r="K9" s="26">
        <v>6.0</v>
      </c>
      <c r="L9" s="35" t="s">
        <v>64</v>
      </c>
      <c r="M9" s="35" t="s">
        <v>65</v>
      </c>
      <c r="N9" s="31" t="s">
        <v>38</v>
      </c>
      <c r="O9" s="26" t="s">
        <v>39</v>
      </c>
      <c r="P9" s="26">
        <v>20.0</v>
      </c>
      <c r="Q9" s="33">
        <v>25.0</v>
      </c>
      <c r="R9" s="26" t="s">
        <v>40</v>
      </c>
      <c r="S9" s="26">
        <v>9.55</v>
      </c>
      <c r="T9" s="26">
        <v>5.086</v>
      </c>
      <c r="U9" s="26" t="s">
        <v>41</v>
      </c>
      <c r="V9" s="34"/>
      <c r="X9" s="28" t="s">
        <v>66</v>
      </c>
      <c r="Y9" s="29">
        <v>8000.0</v>
      </c>
      <c r="Z9" s="29">
        <f t="shared" si="1"/>
        <v>6400</v>
      </c>
    </row>
    <row r="10" ht="43.5" customHeight="1">
      <c r="A10" s="30"/>
      <c r="B10" s="36"/>
      <c r="C10" s="37" t="s">
        <v>67</v>
      </c>
      <c r="D10" s="38"/>
      <c r="E10" s="39" t="s">
        <v>68</v>
      </c>
      <c r="F10" s="38">
        <v>223.0</v>
      </c>
      <c r="G10" s="38" t="s">
        <v>34</v>
      </c>
      <c r="H10" s="40">
        <v>8.809668465129E12</v>
      </c>
      <c r="I10" s="41">
        <v>1.880966846512E12</v>
      </c>
      <c r="J10" s="38" t="s">
        <v>35</v>
      </c>
      <c r="K10" s="38">
        <v>12.0</v>
      </c>
      <c r="L10" s="42" t="s">
        <v>69</v>
      </c>
      <c r="M10" s="42" t="s">
        <v>70</v>
      </c>
      <c r="N10" s="39" t="s">
        <v>38</v>
      </c>
      <c r="O10" s="38" t="s">
        <v>39</v>
      </c>
      <c r="P10" s="38">
        <v>20.0</v>
      </c>
      <c r="Q10" s="43">
        <v>25.0</v>
      </c>
      <c r="R10" s="38" t="s">
        <v>40</v>
      </c>
      <c r="S10" s="38">
        <v>5.257</v>
      </c>
      <c r="T10" s="38">
        <v>7.62</v>
      </c>
      <c r="U10" s="38" t="s">
        <v>41</v>
      </c>
      <c r="V10" s="44"/>
      <c r="X10" s="28" t="s">
        <v>71</v>
      </c>
      <c r="Y10" s="29">
        <v>8000.0</v>
      </c>
      <c r="Z10" s="29">
        <f t="shared" si="1"/>
        <v>6400</v>
      </c>
    </row>
    <row r="11" ht="43.5" customHeight="1">
      <c r="A11" s="30"/>
      <c r="B11" s="18"/>
      <c r="C11" s="19" t="s">
        <v>72</v>
      </c>
      <c r="D11" s="20"/>
      <c r="E11" s="31" t="s">
        <v>73</v>
      </c>
      <c r="F11" s="20">
        <v>211.0</v>
      </c>
      <c r="G11" s="26" t="s">
        <v>34</v>
      </c>
      <c r="H11" s="22">
        <v>8.809668465136E12</v>
      </c>
      <c r="I11" s="23">
        <v>1.880966846513E12</v>
      </c>
      <c r="J11" s="26" t="s">
        <v>35</v>
      </c>
      <c r="K11" s="26">
        <v>1.0</v>
      </c>
      <c r="L11" s="24" t="s">
        <v>36</v>
      </c>
      <c r="M11" s="35" t="s">
        <v>37</v>
      </c>
      <c r="N11" s="35" t="s">
        <v>74</v>
      </c>
      <c r="O11" s="35" t="s">
        <v>75</v>
      </c>
      <c r="P11" s="26">
        <v>100.0</v>
      </c>
      <c r="Q11" s="33">
        <v>10.0</v>
      </c>
      <c r="R11" s="26" t="s">
        <v>40</v>
      </c>
      <c r="S11" s="26">
        <v>4.699</v>
      </c>
      <c r="T11" s="26">
        <v>5.4</v>
      </c>
      <c r="U11" s="26" t="s">
        <v>41</v>
      </c>
      <c r="V11" s="34"/>
      <c r="X11" s="28" t="s">
        <v>76</v>
      </c>
      <c r="Y11" s="29">
        <v>29000.0</v>
      </c>
      <c r="Z11" s="29">
        <f t="shared" si="1"/>
        <v>23200</v>
      </c>
    </row>
    <row r="12" ht="43.5" customHeight="1">
      <c r="A12" s="30"/>
      <c r="B12" s="18"/>
      <c r="C12" s="19" t="s">
        <v>77</v>
      </c>
      <c r="D12" s="26"/>
      <c r="E12" s="31" t="s">
        <v>78</v>
      </c>
      <c r="F12" s="26">
        <v>211.0</v>
      </c>
      <c r="G12" s="31" t="s">
        <v>34</v>
      </c>
      <c r="H12" s="45"/>
      <c r="I12" s="46"/>
      <c r="J12" s="26" t="s">
        <v>35</v>
      </c>
      <c r="K12" s="47"/>
      <c r="L12" s="48" t="s">
        <v>36</v>
      </c>
      <c r="M12" s="35" t="s">
        <v>37</v>
      </c>
      <c r="N12" s="35" t="s">
        <v>79</v>
      </c>
      <c r="O12" s="35" t="s">
        <v>80</v>
      </c>
      <c r="P12" s="26">
        <v>200.0</v>
      </c>
      <c r="Q12" s="33">
        <v>5.0</v>
      </c>
      <c r="R12" s="26" t="s">
        <v>40</v>
      </c>
      <c r="S12" s="26">
        <v>4.699</v>
      </c>
      <c r="T12" s="26">
        <v>5.4</v>
      </c>
      <c r="U12" s="26" t="s">
        <v>41</v>
      </c>
      <c r="V12" s="34"/>
      <c r="X12" s="49"/>
      <c r="Y12" s="50">
        <v>50000.0</v>
      </c>
      <c r="Z12" s="29">
        <f t="shared" si="1"/>
        <v>40000</v>
      </c>
    </row>
    <row r="13" ht="43.5" customHeight="1">
      <c r="A13" s="30"/>
      <c r="B13" s="18"/>
      <c r="C13" s="19" t="s">
        <v>81</v>
      </c>
      <c r="D13" s="31">
        <v>3130.0</v>
      </c>
      <c r="E13" s="31" t="s">
        <v>82</v>
      </c>
      <c r="F13" s="31">
        <v>611.0</v>
      </c>
      <c r="G13" s="31" t="s">
        <v>34</v>
      </c>
      <c r="H13" s="22">
        <v>8.809668465143E12</v>
      </c>
      <c r="I13" s="32">
        <v>1.880966846514E12</v>
      </c>
      <c r="J13" s="26" t="s">
        <v>35</v>
      </c>
      <c r="K13" s="31">
        <v>1.0</v>
      </c>
      <c r="L13" s="31" t="s">
        <v>45</v>
      </c>
      <c r="M13" s="33" t="s">
        <v>45</v>
      </c>
      <c r="N13" s="35" t="s">
        <v>74</v>
      </c>
      <c r="O13" s="35" t="s">
        <v>75</v>
      </c>
      <c r="P13" s="31">
        <v>100.0</v>
      </c>
      <c r="Q13" s="33">
        <v>10.0</v>
      </c>
      <c r="R13" s="26" t="s">
        <v>40</v>
      </c>
      <c r="S13" s="26" t="s">
        <v>46</v>
      </c>
      <c r="T13" s="26" t="s">
        <v>46</v>
      </c>
      <c r="U13" s="26" t="s">
        <v>41</v>
      </c>
      <c r="V13" s="34"/>
      <c r="X13" s="28" t="s">
        <v>83</v>
      </c>
      <c r="Y13" s="29">
        <v>29000.0</v>
      </c>
      <c r="Z13" s="29">
        <f t="shared" si="1"/>
        <v>23200</v>
      </c>
    </row>
    <row r="14" ht="43.5" customHeight="1">
      <c r="A14" s="30"/>
      <c r="B14" s="18"/>
      <c r="C14" s="19" t="s">
        <v>84</v>
      </c>
      <c r="D14" s="31">
        <v>3120.0</v>
      </c>
      <c r="E14" s="31" t="s">
        <v>85</v>
      </c>
      <c r="F14" s="31">
        <v>212.0</v>
      </c>
      <c r="G14" s="26" t="s">
        <v>34</v>
      </c>
      <c r="H14" s="22">
        <v>8.80966846515E12</v>
      </c>
      <c r="I14" s="32">
        <v>1.880966846515E12</v>
      </c>
      <c r="J14" s="26" t="s">
        <v>35</v>
      </c>
      <c r="K14" s="26">
        <v>2.0</v>
      </c>
      <c r="L14" s="33" t="s">
        <v>50</v>
      </c>
      <c r="M14" s="35" t="s">
        <v>51</v>
      </c>
      <c r="N14" s="35" t="s">
        <v>74</v>
      </c>
      <c r="O14" s="35" t="s">
        <v>75</v>
      </c>
      <c r="P14" s="26">
        <v>100.0</v>
      </c>
      <c r="Q14" s="33">
        <v>10.0</v>
      </c>
      <c r="R14" s="26" t="s">
        <v>40</v>
      </c>
      <c r="S14" s="26">
        <v>5.715</v>
      </c>
      <c r="T14" s="26">
        <v>5.41</v>
      </c>
      <c r="U14" s="26" t="s">
        <v>41</v>
      </c>
      <c r="V14" s="34"/>
      <c r="X14" s="28" t="s">
        <v>86</v>
      </c>
      <c r="Y14" s="29">
        <v>29000.0</v>
      </c>
      <c r="Z14" s="29">
        <f t="shared" si="1"/>
        <v>23200</v>
      </c>
    </row>
    <row r="15" ht="43.5" customHeight="1">
      <c r="A15" s="30"/>
      <c r="B15" s="18"/>
      <c r="C15" s="19" t="s">
        <v>87</v>
      </c>
      <c r="D15" s="31">
        <v>3120.0</v>
      </c>
      <c r="E15" s="31" t="s">
        <v>88</v>
      </c>
      <c r="F15" s="31">
        <v>212.0</v>
      </c>
      <c r="G15" s="26" t="s">
        <v>34</v>
      </c>
      <c r="H15" s="45"/>
      <c r="I15" s="46"/>
      <c r="J15" s="26" t="s">
        <v>89</v>
      </c>
      <c r="K15" s="26">
        <v>2.0</v>
      </c>
      <c r="L15" s="33" t="s">
        <v>50</v>
      </c>
      <c r="M15" s="35" t="s">
        <v>51</v>
      </c>
      <c r="N15" s="35" t="s">
        <v>79</v>
      </c>
      <c r="O15" s="35" t="s">
        <v>80</v>
      </c>
      <c r="P15" s="26">
        <v>200.0</v>
      </c>
      <c r="Q15" s="33">
        <v>5.0</v>
      </c>
      <c r="R15" s="26" t="s">
        <v>40</v>
      </c>
      <c r="S15" s="26">
        <v>5.715</v>
      </c>
      <c r="T15" s="26">
        <v>5.41</v>
      </c>
      <c r="U15" s="26" t="s">
        <v>41</v>
      </c>
      <c r="V15" s="34"/>
      <c r="X15" s="49"/>
      <c r="Y15" s="50">
        <v>50000.0</v>
      </c>
      <c r="Z15" s="29">
        <f t="shared" si="1"/>
        <v>40000</v>
      </c>
    </row>
    <row r="16" ht="43.5" customHeight="1">
      <c r="A16" s="30"/>
      <c r="B16" s="18"/>
      <c r="C16" s="19" t="s">
        <v>90</v>
      </c>
      <c r="D16" s="26">
        <v>3203.0</v>
      </c>
      <c r="E16" s="31" t="s">
        <v>91</v>
      </c>
      <c r="F16" s="26"/>
      <c r="G16" s="26" t="s">
        <v>34</v>
      </c>
      <c r="H16" s="22">
        <v>8.809668465167E12</v>
      </c>
      <c r="I16" s="32">
        <v>1.880966846516E12</v>
      </c>
      <c r="J16" s="26" t="s">
        <v>35</v>
      </c>
      <c r="K16" s="26">
        <v>3.0</v>
      </c>
      <c r="L16" s="35" t="s">
        <v>55</v>
      </c>
      <c r="M16" s="35" t="s">
        <v>55</v>
      </c>
      <c r="N16" s="35" t="s">
        <v>74</v>
      </c>
      <c r="O16" s="35" t="s">
        <v>75</v>
      </c>
      <c r="P16" s="26">
        <v>100.0</v>
      </c>
      <c r="Q16" s="33">
        <v>10.0</v>
      </c>
      <c r="R16" s="26" t="s">
        <v>40</v>
      </c>
      <c r="S16" s="26">
        <v>14.0</v>
      </c>
      <c r="T16" s="26">
        <v>9.25</v>
      </c>
      <c r="U16" s="26" t="s">
        <v>41</v>
      </c>
      <c r="V16" s="34"/>
      <c r="X16" s="28" t="s">
        <v>92</v>
      </c>
      <c r="Y16" s="29">
        <v>29000.0</v>
      </c>
      <c r="Z16" s="29">
        <f t="shared" si="1"/>
        <v>23200</v>
      </c>
    </row>
    <row r="17" ht="43.5" customHeight="1">
      <c r="A17" s="30"/>
      <c r="B17" s="18"/>
      <c r="C17" s="19" t="s">
        <v>93</v>
      </c>
      <c r="D17" s="26">
        <v>3118.0</v>
      </c>
      <c r="E17" s="31" t="s">
        <v>94</v>
      </c>
      <c r="F17" s="26">
        <v>614.0</v>
      </c>
      <c r="G17" s="26" t="s">
        <v>34</v>
      </c>
      <c r="H17" s="22">
        <v>8.809668465174E12</v>
      </c>
      <c r="I17" s="32">
        <v>1.880966846517E12</v>
      </c>
      <c r="J17" s="26" t="s">
        <v>35</v>
      </c>
      <c r="K17" s="26">
        <v>4.0</v>
      </c>
      <c r="L17" s="35" t="s">
        <v>59</v>
      </c>
      <c r="M17" s="35" t="s">
        <v>60</v>
      </c>
      <c r="N17" s="35" t="s">
        <v>74</v>
      </c>
      <c r="O17" s="35" t="s">
        <v>75</v>
      </c>
      <c r="P17" s="26">
        <v>100.0</v>
      </c>
      <c r="Q17" s="33">
        <v>10.0</v>
      </c>
      <c r="R17" s="26" t="s">
        <v>40</v>
      </c>
      <c r="S17" s="26">
        <v>9.89</v>
      </c>
      <c r="T17" s="26">
        <v>4.99</v>
      </c>
      <c r="U17" s="26" t="s">
        <v>41</v>
      </c>
      <c r="V17" s="34"/>
      <c r="X17" s="28" t="s">
        <v>95</v>
      </c>
      <c r="Y17" s="29">
        <v>29000.0</v>
      </c>
      <c r="Z17" s="29">
        <f t="shared" si="1"/>
        <v>23200</v>
      </c>
    </row>
    <row r="18" ht="43.5" customHeight="1">
      <c r="A18" s="30"/>
      <c r="B18" s="18"/>
      <c r="C18" s="19" t="s">
        <v>96</v>
      </c>
      <c r="D18" s="26">
        <v>3116.0</v>
      </c>
      <c r="E18" s="31" t="s">
        <v>97</v>
      </c>
      <c r="F18" s="26"/>
      <c r="G18" s="26" t="s">
        <v>34</v>
      </c>
      <c r="H18" s="22">
        <v>8.809668465181E12</v>
      </c>
      <c r="I18" s="32">
        <v>1.880966846518E12</v>
      </c>
      <c r="J18" s="26" t="s">
        <v>35</v>
      </c>
      <c r="K18" s="26">
        <v>6.0</v>
      </c>
      <c r="L18" s="35" t="s">
        <v>64</v>
      </c>
      <c r="M18" s="35" t="s">
        <v>65</v>
      </c>
      <c r="N18" s="35" t="s">
        <v>74</v>
      </c>
      <c r="O18" s="35" t="s">
        <v>75</v>
      </c>
      <c r="P18" s="26">
        <v>100.0</v>
      </c>
      <c r="Q18" s="33">
        <v>10.0</v>
      </c>
      <c r="R18" s="26" t="s">
        <v>40</v>
      </c>
      <c r="S18" s="26">
        <v>9.55</v>
      </c>
      <c r="T18" s="26">
        <v>5.086</v>
      </c>
      <c r="U18" s="26" t="s">
        <v>41</v>
      </c>
      <c r="V18" s="34"/>
      <c r="X18" s="28" t="s">
        <v>98</v>
      </c>
      <c r="Y18" s="29">
        <v>29000.0</v>
      </c>
      <c r="Z18" s="29">
        <f t="shared" si="1"/>
        <v>23200</v>
      </c>
    </row>
    <row r="19" ht="43.5" customHeight="1">
      <c r="A19" s="30"/>
      <c r="B19" s="36"/>
      <c r="C19" s="37" t="s">
        <v>99</v>
      </c>
      <c r="D19" s="38"/>
      <c r="E19" s="31" t="s">
        <v>100</v>
      </c>
      <c r="F19" s="38">
        <v>223.0</v>
      </c>
      <c r="G19" s="26" t="s">
        <v>34</v>
      </c>
      <c r="H19" s="22">
        <v>8.809668465198E12</v>
      </c>
      <c r="I19" s="41">
        <v>1.880966846519E12</v>
      </c>
      <c r="J19" s="26" t="s">
        <v>35</v>
      </c>
      <c r="K19" s="26">
        <v>12.0</v>
      </c>
      <c r="L19" s="42" t="s">
        <v>69</v>
      </c>
      <c r="M19" s="35" t="s">
        <v>70</v>
      </c>
      <c r="N19" s="35" t="s">
        <v>74</v>
      </c>
      <c r="O19" s="35" t="s">
        <v>75</v>
      </c>
      <c r="P19" s="26">
        <v>100.0</v>
      </c>
      <c r="Q19" s="33">
        <v>10.0</v>
      </c>
      <c r="R19" s="26" t="s">
        <v>40</v>
      </c>
      <c r="S19" s="26">
        <v>5.257</v>
      </c>
      <c r="T19" s="26">
        <v>7.62</v>
      </c>
      <c r="U19" s="26" t="s">
        <v>41</v>
      </c>
      <c r="V19" s="34"/>
      <c r="X19" s="28" t="s">
        <v>101</v>
      </c>
      <c r="Y19" s="29">
        <v>29000.0</v>
      </c>
      <c r="Z19" s="29">
        <f t="shared" si="1"/>
        <v>23200</v>
      </c>
    </row>
    <row r="20" ht="43.5" customHeight="1">
      <c r="A20" s="17" t="s">
        <v>102</v>
      </c>
      <c r="B20" s="18"/>
      <c r="C20" s="51" t="s">
        <v>103</v>
      </c>
      <c r="D20" s="52">
        <v>3620.0</v>
      </c>
      <c r="E20" s="21" t="s">
        <v>104</v>
      </c>
      <c r="F20" s="52">
        <v>616.0</v>
      </c>
      <c r="G20" s="20" t="s">
        <v>102</v>
      </c>
      <c r="H20" s="23">
        <v>8.809668465204E12</v>
      </c>
      <c r="I20" s="23">
        <v>1.88096684652E12</v>
      </c>
      <c r="J20" s="20" t="s">
        <v>35</v>
      </c>
      <c r="K20" s="20">
        <v>6.0</v>
      </c>
      <c r="L20" s="24" t="s">
        <v>105</v>
      </c>
      <c r="M20" s="24" t="s">
        <v>105</v>
      </c>
      <c r="N20" s="24" t="s">
        <v>38</v>
      </c>
      <c r="O20" s="24" t="s">
        <v>39</v>
      </c>
      <c r="P20" s="20">
        <v>20.0</v>
      </c>
      <c r="Q20" s="25">
        <v>25.0</v>
      </c>
      <c r="R20" s="20" t="s">
        <v>40</v>
      </c>
      <c r="S20" s="20">
        <v>19.0</v>
      </c>
      <c r="T20" s="20">
        <v>45.0</v>
      </c>
      <c r="U20" s="20" t="s">
        <v>41</v>
      </c>
      <c r="V20" s="27"/>
      <c r="X20" s="53" t="s">
        <v>106</v>
      </c>
      <c r="Y20" s="54">
        <v>8000.0</v>
      </c>
      <c r="Z20" s="29">
        <f t="shared" si="1"/>
        <v>6400</v>
      </c>
    </row>
    <row r="21" ht="43.5" customHeight="1">
      <c r="A21" s="30"/>
      <c r="B21" s="18"/>
      <c r="C21" s="19" t="s">
        <v>107</v>
      </c>
      <c r="D21" s="55">
        <v>3114.0</v>
      </c>
      <c r="E21" s="31" t="s">
        <v>108</v>
      </c>
      <c r="F21" s="55">
        <v>224.0</v>
      </c>
      <c r="G21" s="26" t="s">
        <v>102</v>
      </c>
      <c r="H21" s="32">
        <v>8.809668465211E12</v>
      </c>
      <c r="I21" s="32">
        <v>1.880966846521E12</v>
      </c>
      <c r="J21" s="26" t="s">
        <v>35</v>
      </c>
      <c r="K21" s="26">
        <v>8.0</v>
      </c>
      <c r="L21" s="35" t="s">
        <v>109</v>
      </c>
      <c r="M21" s="35" t="s">
        <v>110</v>
      </c>
      <c r="N21" s="35" t="s">
        <v>38</v>
      </c>
      <c r="O21" s="35" t="s">
        <v>39</v>
      </c>
      <c r="P21" s="26">
        <v>20.0</v>
      </c>
      <c r="Q21" s="33">
        <v>25.0</v>
      </c>
      <c r="R21" s="26" t="s">
        <v>40</v>
      </c>
      <c r="S21" s="26">
        <v>13.792</v>
      </c>
      <c r="T21" s="26">
        <v>5.086</v>
      </c>
      <c r="U21" s="26" t="s">
        <v>41</v>
      </c>
      <c r="V21" s="34"/>
      <c r="X21" s="53" t="s">
        <v>111</v>
      </c>
      <c r="Y21" s="54">
        <v>8000.0</v>
      </c>
      <c r="Z21" s="29">
        <f t="shared" si="1"/>
        <v>6400</v>
      </c>
    </row>
    <row r="22" ht="43.5" customHeight="1">
      <c r="A22" s="30"/>
      <c r="B22" s="18"/>
      <c r="C22" s="19" t="s">
        <v>112</v>
      </c>
      <c r="D22" s="55">
        <v>3510.0</v>
      </c>
      <c r="E22" s="31" t="s">
        <v>113</v>
      </c>
      <c r="F22" s="55"/>
      <c r="G22" s="26" t="s">
        <v>102</v>
      </c>
      <c r="H22" s="32">
        <v>8.809668465228E12</v>
      </c>
      <c r="I22" s="32">
        <v>1.880966846522E12</v>
      </c>
      <c r="J22" s="26" t="s">
        <v>35</v>
      </c>
      <c r="K22" s="26">
        <v>10.0</v>
      </c>
      <c r="L22" s="35" t="s">
        <v>114</v>
      </c>
      <c r="M22" s="35" t="s">
        <v>115</v>
      </c>
      <c r="N22" s="35" t="s">
        <v>38</v>
      </c>
      <c r="O22" s="35" t="s">
        <v>39</v>
      </c>
      <c r="P22" s="26">
        <v>20.0</v>
      </c>
      <c r="Q22" s="33">
        <v>25.0</v>
      </c>
      <c r="R22" s="26" t="s">
        <v>40</v>
      </c>
      <c r="S22" s="26">
        <v>20.5</v>
      </c>
      <c r="T22" s="26">
        <v>11.5</v>
      </c>
      <c r="U22" s="26" t="s">
        <v>41</v>
      </c>
      <c r="V22" s="34"/>
      <c r="X22" s="53" t="s">
        <v>116</v>
      </c>
      <c r="Y22" s="54">
        <v>8000.0</v>
      </c>
      <c r="Z22" s="29">
        <f t="shared" si="1"/>
        <v>6400</v>
      </c>
    </row>
    <row r="23" ht="43.5" customHeight="1">
      <c r="A23" s="30"/>
      <c r="B23" s="18"/>
      <c r="C23" s="19" t="s">
        <v>117</v>
      </c>
      <c r="D23" s="55">
        <v>3212.0</v>
      </c>
      <c r="E23" s="31" t="s">
        <v>118</v>
      </c>
      <c r="F23" s="55"/>
      <c r="G23" s="26" t="s">
        <v>102</v>
      </c>
      <c r="H23" s="32">
        <v>8.809668465235E12</v>
      </c>
      <c r="I23" s="32">
        <v>1.880966846523E12</v>
      </c>
      <c r="J23" s="26" t="s">
        <v>35</v>
      </c>
      <c r="K23" s="26">
        <v>12.0</v>
      </c>
      <c r="L23" s="35" t="s">
        <v>119</v>
      </c>
      <c r="M23" s="35" t="s">
        <v>120</v>
      </c>
      <c r="N23" s="35" t="s">
        <v>38</v>
      </c>
      <c r="O23" s="35" t="s">
        <v>39</v>
      </c>
      <c r="P23" s="26">
        <v>20.0</v>
      </c>
      <c r="Q23" s="33">
        <v>25.0</v>
      </c>
      <c r="R23" s="26" t="s">
        <v>40</v>
      </c>
      <c r="S23" s="26">
        <v>7.5</v>
      </c>
      <c r="T23" s="26">
        <v>4.0</v>
      </c>
      <c r="U23" s="26" t="s">
        <v>41</v>
      </c>
      <c r="V23" s="34"/>
      <c r="X23" s="53" t="s">
        <v>121</v>
      </c>
      <c r="Y23" s="54">
        <v>8000.0</v>
      </c>
      <c r="Z23" s="29">
        <f t="shared" si="1"/>
        <v>6400</v>
      </c>
    </row>
    <row r="24" ht="43.5" customHeight="1">
      <c r="A24" s="30"/>
      <c r="B24" s="18"/>
      <c r="C24" s="19" t="s">
        <v>122</v>
      </c>
      <c r="D24" s="55">
        <v>3108.0</v>
      </c>
      <c r="E24" s="31" t="s">
        <v>123</v>
      </c>
      <c r="F24" s="55">
        <v>227.0</v>
      </c>
      <c r="G24" s="26" t="s">
        <v>102</v>
      </c>
      <c r="H24" s="32">
        <v>8.809668465242E12</v>
      </c>
      <c r="I24" s="32">
        <v>1.880966846524E12</v>
      </c>
      <c r="J24" s="26" t="s">
        <v>35</v>
      </c>
      <c r="K24" s="26">
        <v>14.0</v>
      </c>
      <c r="L24" s="35" t="s">
        <v>124</v>
      </c>
      <c r="M24" s="35" t="s">
        <v>125</v>
      </c>
      <c r="N24" s="35" t="s">
        <v>38</v>
      </c>
      <c r="O24" s="35" t="s">
        <v>39</v>
      </c>
      <c r="P24" s="26">
        <v>20.0</v>
      </c>
      <c r="Q24" s="33">
        <v>25.0</v>
      </c>
      <c r="R24" s="26" t="s">
        <v>40</v>
      </c>
      <c r="S24" s="26">
        <v>15.875</v>
      </c>
      <c r="T24" s="26">
        <v>5.086</v>
      </c>
      <c r="U24" s="26" t="s">
        <v>41</v>
      </c>
      <c r="V24" s="34"/>
      <c r="X24" s="53" t="s">
        <v>126</v>
      </c>
      <c r="Y24" s="54">
        <v>8000.0</v>
      </c>
      <c r="Z24" s="29">
        <f t="shared" si="1"/>
        <v>6400</v>
      </c>
    </row>
    <row r="25" ht="43.5" customHeight="1">
      <c r="A25" s="30"/>
      <c r="B25" s="56"/>
      <c r="C25" s="19" t="s">
        <v>127</v>
      </c>
      <c r="D25" s="55">
        <v>3107.0</v>
      </c>
      <c r="E25" s="57" t="s">
        <v>128</v>
      </c>
      <c r="F25" s="55">
        <v>228.0</v>
      </c>
      <c r="G25" s="47" t="s">
        <v>102</v>
      </c>
      <c r="H25" s="32">
        <v>8.809668465259E12</v>
      </c>
      <c r="I25" s="32">
        <v>1.880966846525E12</v>
      </c>
      <c r="J25" s="26" t="s">
        <v>35</v>
      </c>
      <c r="K25" s="26">
        <v>16.0</v>
      </c>
      <c r="L25" s="35" t="s">
        <v>129</v>
      </c>
      <c r="M25" s="35" t="s">
        <v>130</v>
      </c>
      <c r="N25" s="35" t="s">
        <v>38</v>
      </c>
      <c r="O25" s="35" t="s">
        <v>39</v>
      </c>
      <c r="P25" s="26">
        <v>20.0</v>
      </c>
      <c r="Q25" s="33">
        <v>25.0</v>
      </c>
      <c r="R25" s="26" t="s">
        <v>40</v>
      </c>
      <c r="S25" s="26">
        <v>13.792</v>
      </c>
      <c r="T25" s="26">
        <v>5.086</v>
      </c>
      <c r="U25" s="26" t="s">
        <v>41</v>
      </c>
      <c r="V25" s="34"/>
      <c r="X25" s="28" t="s">
        <v>131</v>
      </c>
      <c r="Y25" s="54">
        <v>8000.0</v>
      </c>
      <c r="Z25" s="29">
        <f t="shared" si="1"/>
        <v>6400</v>
      </c>
    </row>
    <row r="26" ht="43.5" customHeight="1">
      <c r="A26" s="30"/>
      <c r="B26" s="18"/>
      <c r="C26" s="19" t="s">
        <v>132</v>
      </c>
      <c r="D26" s="55">
        <v>3109.0</v>
      </c>
      <c r="E26" s="31" t="s">
        <v>133</v>
      </c>
      <c r="F26" s="55">
        <v>429.0</v>
      </c>
      <c r="G26" s="26" t="s">
        <v>102</v>
      </c>
      <c r="H26" s="32">
        <v>8.809668465266E12</v>
      </c>
      <c r="I26" s="32">
        <v>1.880966846526E12</v>
      </c>
      <c r="J26" s="26" t="s">
        <v>35</v>
      </c>
      <c r="K26" s="26">
        <v>18.0</v>
      </c>
      <c r="L26" s="35" t="s">
        <v>134</v>
      </c>
      <c r="M26" s="35" t="s">
        <v>134</v>
      </c>
      <c r="N26" s="35" t="s">
        <v>38</v>
      </c>
      <c r="O26" s="35" t="s">
        <v>39</v>
      </c>
      <c r="P26" s="26">
        <v>20.0</v>
      </c>
      <c r="Q26" s="33">
        <v>25.0</v>
      </c>
      <c r="R26" s="26" t="s">
        <v>40</v>
      </c>
      <c r="S26" s="26">
        <v>13.0</v>
      </c>
      <c r="T26" s="26">
        <v>3.98</v>
      </c>
      <c r="U26" s="26" t="s">
        <v>41</v>
      </c>
      <c r="V26" s="34"/>
      <c r="X26" s="53" t="s">
        <v>135</v>
      </c>
      <c r="Y26" s="54">
        <v>8000.0</v>
      </c>
      <c r="Z26" s="29">
        <f t="shared" si="1"/>
        <v>6400</v>
      </c>
    </row>
    <row r="27" ht="43.5" customHeight="1">
      <c r="A27" s="30"/>
      <c r="B27" s="18"/>
      <c r="C27" s="19" t="s">
        <v>136</v>
      </c>
      <c r="D27" s="55">
        <v>3218.0</v>
      </c>
      <c r="E27" s="31" t="s">
        <v>137</v>
      </c>
      <c r="F27" s="55">
        <v>836.0</v>
      </c>
      <c r="G27" s="26" t="s">
        <v>102</v>
      </c>
      <c r="H27" s="32">
        <v>8.809668465273E12</v>
      </c>
      <c r="I27" s="32">
        <v>1.880966846527E12</v>
      </c>
      <c r="J27" s="26" t="s">
        <v>35</v>
      </c>
      <c r="K27" s="26">
        <v>18.0</v>
      </c>
      <c r="L27" s="35" t="s">
        <v>138</v>
      </c>
      <c r="M27" s="35" t="s">
        <v>138</v>
      </c>
      <c r="N27" s="35" t="s">
        <v>38</v>
      </c>
      <c r="O27" s="35" t="s">
        <v>39</v>
      </c>
      <c r="P27" s="26">
        <v>20.0</v>
      </c>
      <c r="Q27" s="33">
        <v>25.0</v>
      </c>
      <c r="R27" s="26" t="s">
        <v>40</v>
      </c>
      <c r="S27" s="26">
        <v>9.95</v>
      </c>
      <c r="T27" s="26">
        <v>7.62</v>
      </c>
      <c r="U27" s="26" t="s">
        <v>41</v>
      </c>
      <c r="V27" s="34"/>
      <c r="X27" s="53" t="s">
        <v>139</v>
      </c>
      <c r="Y27" s="54">
        <v>8000.0</v>
      </c>
      <c r="Z27" s="29">
        <f t="shared" si="1"/>
        <v>6400</v>
      </c>
    </row>
    <row r="28" ht="43.5" customHeight="1">
      <c r="A28" s="30"/>
      <c r="B28" s="18"/>
      <c r="C28" s="19" t="s">
        <v>140</v>
      </c>
      <c r="D28" s="55">
        <v>3105.0</v>
      </c>
      <c r="E28" s="31" t="s">
        <v>141</v>
      </c>
      <c r="F28" s="55">
        <v>237.0</v>
      </c>
      <c r="G28" s="26" t="s">
        <v>102</v>
      </c>
      <c r="H28" s="32">
        <v>8.80966846528E12</v>
      </c>
      <c r="I28" s="32">
        <v>1.880966846528E12</v>
      </c>
      <c r="J28" s="26" t="s">
        <v>35</v>
      </c>
      <c r="K28" s="26">
        <v>21.0</v>
      </c>
      <c r="L28" s="35" t="s">
        <v>142</v>
      </c>
      <c r="M28" s="35" t="s">
        <v>143</v>
      </c>
      <c r="N28" s="35" t="s">
        <v>38</v>
      </c>
      <c r="O28" s="35" t="s">
        <v>39</v>
      </c>
      <c r="P28" s="26">
        <v>20.0</v>
      </c>
      <c r="Q28" s="33">
        <v>25.0</v>
      </c>
      <c r="R28" s="26" t="s">
        <v>40</v>
      </c>
      <c r="S28" s="26">
        <v>15.875</v>
      </c>
      <c r="T28" s="26">
        <v>7.62</v>
      </c>
      <c r="U28" s="26" t="s">
        <v>41</v>
      </c>
      <c r="V28" s="34"/>
      <c r="X28" s="53" t="s">
        <v>144</v>
      </c>
      <c r="Y28" s="54">
        <v>8000.0</v>
      </c>
      <c r="Z28" s="29">
        <f t="shared" si="1"/>
        <v>6400</v>
      </c>
    </row>
    <row r="29" ht="43.5" customHeight="1">
      <c r="A29" s="30"/>
      <c r="B29" s="36"/>
      <c r="C29" s="37" t="s">
        <v>145</v>
      </c>
      <c r="D29" s="58">
        <v>3106.0</v>
      </c>
      <c r="E29" s="39" t="s">
        <v>146</v>
      </c>
      <c r="F29" s="58">
        <v>238.0</v>
      </c>
      <c r="G29" s="38" t="s">
        <v>102</v>
      </c>
      <c r="H29" s="41">
        <v>8.809668465297E12</v>
      </c>
      <c r="I29" s="41">
        <v>1.880966846529E12</v>
      </c>
      <c r="J29" s="38" t="s">
        <v>35</v>
      </c>
      <c r="K29" s="38">
        <v>24.0</v>
      </c>
      <c r="L29" s="42" t="s">
        <v>147</v>
      </c>
      <c r="M29" s="42" t="s">
        <v>148</v>
      </c>
      <c r="N29" s="42" t="s">
        <v>38</v>
      </c>
      <c r="O29" s="42" t="s">
        <v>39</v>
      </c>
      <c r="P29" s="38">
        <v>20.0</v>
      </c>
      <c r="Q29" s="43">
        <v>25.0</v>
      </c>
      <c r="R29" s="38" t="s">
        <v>40</v>
      </c>
      <c r="S29" s="38">
        <v>13.0</v>
      </c>
      <c r="T29" s="38">
        <v>6.5</v>
      </c>
      <c r="U29" s="38" t="s">
        <v>41</v>
      </c>
      <c r="V29" s="44"/>
      <c r="X29" s="59" t="s">
        <v>149</v>
      </c>
      <c r="Y29" s="54">
        <v>8000.0</v>
      </c>
      <c r="Z29" s="29">
        <f t="shared" si="1"/>
        <v>6400</v>
      </c>
    </row>
    <row r="30" ht="43.5" customHeight="1">
      <c r="A30" s="30"/>
      <c r="B30" s="18"/>
      <c r="C30" s="19" t="s">
        <v>150</v>
      </c>
      <c r="D30" s="26">
        <v>3620.0</v>
      </c>
      <c r="E30" s="31" t="s">
        <v>151</v>
      </c>
      <c r="F30" s="26">
        <v>616.0</v>
      </c>
      <c r="G30" s="26" t="s">
        <v>102</v>
      </c>
      <c r="H30" s="23">
        <v>8.809668465303E12</v>
      </c>
      <c r="I30" s="23">
        <v>1.88096684653E12</v>
      </c>
      <c r="J30" s="26" t="s">
        <v>35</v>
      </c>
      <c r="K30" s="26">
        <v>6.0</v>
      </c>
      <c r="L30" s="24" t="s">
        <v>105</v>
      </c>
      <c r="M30" s="35" t="s">
        <v>105</v>
      </c>
      <c r="N30" s="35" t="s">
        <v>74</v>
      </c>
      <c r="O30" s="35" t="s">
        <v>75</v>
      </c>
      <c r="P30" s="26">
        <v>100.0</v>
      </c>
      <c r="Q30" s="33">
        <v>10.0</v>
      </c>
      <c r="R30" s="26" t="s">
        <v>40</v>
      </c>
      <c r="S30" s="26">
        <v>19.0</v>
      </c>
      <c r="T30" s="26">
        <v>45.0</v>
      </c>
      <c r="U30" s="26" t="s">
        <v>41</v>
      </c>
      <c r="V30" s="34"/>
      <c r="X30" s="28" t="s">
        <v>152</v>
      </c>
      <c r="Y30" s="54">
        <v>29000.0</v>
      </c>
      <c r="Z30" s="29">
        <f t="shared" si="1"/>
        <v>23200</v>
      </c>
    </row>
    <row r="31" ht="43.5" customHeight="1">
      <c r="A31" s="30"/>
      <c r="B31" s="18"/>
      <c r="C31" s="19" t="s">
        <v>153</v>
      </c>
      <c r="D31" s="26">
        <v>3114.0</v>
      </c>
      <c r="E31" s="31" t="s">
        <v>154</v>
      </c>
      <c r="F31" s="26">
        <v>224.0</v>
      </c>
      <c r="G31" s="26" t="s">
        <v>102</v>
      </c>
      <c r="H31" s="32">
        <v>8.80966846531E12</v>
      </c>
      <c r="I31" s="32">
        <v>1.880966846531E12</v>
      </c>
      <c r="J31" s="26" t="s">
        <v>35</v>
      </c>
      <c r="K31" s="26">
        <v>8.0</v>
      </c>
      <c r="L31" s="35" t="s">
        <v>109</v>
      </c>
      <c r="M31" s="35" t="s">
        <v>110</v>
      </c>
      <c r="N31" s="35" t="s">
        <v>74</v>
      </c>
      <c r="O31" s="35" t="s">
        <v>75</v>
      </c>
      <c r="P31" s="26">
        <v>100.0</v>
      </c>
      <c r="Q31" s="33">
        <v>10.0</v>
      </c>
      <c r="R31" s="26" t="s">
        <v>40</v>
      </c>
      <c r="S31" s="26">
        <v>13.792</v>
      </c>
      <c r="T31" s="26">
        <v>5.086</v>
      </c>
      <c r="U31" s="26" t="s">
        <v>41</v>
      </c>
      <c r="V31" s="34"/>
      <c r="X31" s="28" t="s">
        <v>155</v>
      </c>
      <c r="Y31" s="54">
        <v>29000.0</v>
      </c>
      <c r="Z31" s="29">
        <f t="shared" si="1"/>
        <v>23200</v>
      </c>
    </row>
    <row r="32" ht="43.5" customHeight="1">
      <c r="A32" s="30"/>
      <c r="B32" s="18"/>
      <c r="C32" s="19" t="s">
        <v>156</v>
      </c>
      <c r="D32" s="26">
        <v>3114.0</v>
      </c>
      <c r="E32" s="31" t="s">
        <v>157</v>
      </c>
      <c r="F32" s="26">
        <v>224.0</v>
      </c>
      <c r="G32" s="26" t="s">
        <v>102</v>
      </c>
      <c r="H32" s="46"/>
      <c r="I32" s="46"/>
      <c r="J32" s="26" t="s">
        <v>35</v>
      </c>
      <c r="K32" s="26">
        <v>8.0</v>
      </c>
      <c r="L32" s="35" t="s">
        <v>109</v>
      </c>
      <c r="M32" s="35" t="s">
        <v>110</v>
      </c>
      <c r="N32" s="35" t="s">
        <v>79</v>
      </c>
      <c r="O32" s="35" t="s">
        <v>80</v>
      </c>
      <c r="P32" s="26">
        <v>200.0</v>
      </c>
      <c r="Q32" s="33">
        <v>5.0</v>
      </c>
      <c r="R32" s="26" t="s">
        <v>40</v>
      </c>
      <c r="S32" s="26">
        <v>13.792</v>
      </c>
      <c r="T32" s="26">
        <v>5.086</v>
      </c>
      <c r="U32" s="26" t="s">
        <v>41</v>
      </c>
      <c r="V32" s="34"/>
      <c r="X32" s="60"/>
      <c r="Y32" s="50">
        <v>50000.0</v>
      </c>
      <c r="Z32" s="29">
        <f t="shared" si="1"/>
        <v>40000</v>
      </c>
    </row>
    <row r="33" ht="43.5" customHeight="1">
      <c r="A33" s="30"/>
      <c r="B33" s="18"/>
      <c r="C33" s="19" t="s">
        <v>158</v>
      </c>
      <c r="D33" s="26">
        <v>3510.0</v>
      </c>
      <c r="E33" s="31" t="s">
        <v>159</v>
      </c>
      <c r="F33" s="26"/>
      <c r="G33" s="26" t="s">
        <v>102</v>
      </c>
      <c r="H33" s="32">
        <v>8.809668465327E12</v>
      </c>
      <c r="I33" s="32">
        <v>1.880966846532E12</v>
      </c>
      <c r="J33" s="26" t="s">
        <v>35</v>
      </c>
      <c r="K33" s="26">
        <v>10.0</v>
      </c>
      <c r="L33" s="35" t="s">
        <v>114</v>
      </c>
      <c r="M33" s="35" t="s">
        <v>160</v>
      </c>
      <c r="N33" s="35" t="s">
        <v>74</v>
      </c>
      <c r="O33" s="35" t="s">
        <v>75</v>
      </c>
      <c r="P33" s="26">
        <v>100.0</v>
      </c>
      <c r="Q33" s="33">
        <v>10.0</v>
      </c>
      <c r="R33" s="26" t="s">
        <v>40</v>
      </c>
      <c r="S33" s="26">
        <v>20.5</v>
      </c>
      <c r="T33" s="26">
        <v>11.5</v>
      </c>
      <c r="U33" s="26" t="s">
        <v>41</v>
      </c>
      <c r="V33" s="34"/>
      <c r="X33" s="28" t="s">
        <v>161</v>
      </c>
      <c r="Y33" s="54">
        <v>29000.0</v>
      </c>
      <c r="Z33" s="29">
        <f t="shared" si="1"/>
        <v>23200</v>
      </c>
    </row>
    <row r="34" ht="43.5" customHeight="1">
      <c r="A34" s="30"/>
      <c r="B34" s="18"/>
      <c r="C34" s="19" t="s">
        <v>162</v>
      </c>
      <c r="D34" s="26">
        <v>3212.0</v>
      </c>
      <c r="E34" s="61" t="s">
        <v>163</v>
      </c>
      <c r="F34" s="55"/>
      <c r="G34" s="26" t="s">
        <v>102</v>
      </c>
      <c r="H34" s="32">
        <v>8.809668465334E12</v>
      </c>
      <c r="I34" s="32">
        <v>1.880966846533E12</v>
      </c>
      <c r="J34" s="26" t="s">
        <v>35</v>
      </c>
      <c r="K34" s="26">
        <v>12.0</v>
      </c>
      <c r="L34" s="35" t="s">
        <v>119</v>
      </c>
      <c r="M34" s="35" t="s">
        <v>120</v>
      </c>
      <c r="N34" s="35" t="s">
        <v>74</v>
      </c>
      <c r="O34" s="35" t="s">
        <v>75</v>
      </c>
      <c r="P34" s="26">
        <v>100.0</v>
      </c>
      <c r="Q34" s="33">
        <v>10.0</v>
      </c>
      <c r="R34" s="26" t="s">
        <v>40</v>
      </c>
      <c r="S34" s="26">
        <v>7.5</v>
      </c>
      <c r="T34" s="26">
        <v>4.0</v>
      </c>
      <c r="U34" s="26" t="s">
        <v>41</v>
      </c>
      <c r="V34" s="34"/>
      <c r="X34" s="28" t="s">
        <v>164</v>
      </c>
      <c r="Y34" s="54">
        <v>29000.0</v>
      </c>
      <c r="Z34" s="29">
        <f t="shared" si="1"/>
        <v>23200</v>
      </c>
    </row>
    <row r="35" ht="43.5" customHeight="1">
      <c r="A35" s="30"/>
      <c r="B35" s="18"/>
      <c r="C35" s="19" t="s">
        <v>165</v>
      </c>
      <c r="D35" s="55">
        <v>3108.0</v>
      </c>
      <c r="E35" s="61" t="s">
        <v>166</v>
      </c>
      <c r="F35" s="55">
        <v>227.0</v>
      </c>
      <c r="G35" s="55" t="s">
        <v>102</v>
      </c>
      <c r="H35" s="32">
        <v>8.809668465341E12</v>
      </c>
      <c r="I35" s="32">
        <v>1.880966846534E12</v>
      </c>
      <c r="J35" s="26" t="s">
        <v>35</v>
      </c>
      <c r="K35" s="26">
        <v>14.0</v>
      </c>
      <c r="L35" s="35" t="s">
        <v>124</v>
      </c>
      <c r="M35" s="35" t="s">
        <v>125</v>
      </c>
      <c r="N35" s="35" t="s">
        <v>74</v>
      </c>
      <c r="O35" s="35" t="s">
        <v>75</v>
      </c>
      <c r="P35" s="26">
        <v>100.0</v>
      </c>
      <c r="Q35" s="33">
        <v>10.0</v>
      </c>
      <c r="R35" s="26" t="s">
        <v>40</v>
      </c>
      <c r="S35" s="26">
        <v>15.875</v>
      </c>
      <c r="T35" s="26">
        <v>5.086</v>
      </c>
      <c r="U35" s="26" t="s">
        <v>41</v>
      </c>
      <c r="V35" s="34"/>
      <c r="X35" s="28" t="s">
        <v>167</v>
      </c>
      <c r="Y35" s="54">
        <v>29000.0</v>
      </c>
      <c r="Z35" s="29">
        <f t="shared" si="1"/>
        <v>23200</v>
      </c>
    </row>
    <row r="36" ht="43.5" customHeight="1">
      <c r="A36" s="30"/>
      <c r="B36" s="56"/>
      <c r="C36" s="62" t="s">
        <v>168</v>
      </c>
      <c r="D36" s="63">
        <v>3107.0</v>
      </c>
      <c r="E36" s="64" t="s">
        <v>169</v>
      </c>
      <c r="F36" s="63">
        <v>228.0</v>
      </c>
      <c r="G36" s="63" t="s">
        <v>102</v>
      </c>
      <c r="H36" s="32">
        <v>8.809668465358E12</v>
      </c>
      <c r="I36" s="32">
        <v>1.880966846535E12</v>
      </c>
      <c r="J36" s="26" t="s">
        <v>35</v>
      </c>
      <c r="K36" s="26">
        <v>16.0</v>
      </c>
      <c r="L36" s="35" t="s">
        <v>129</v>
      </c>
      <c r="M36" s="35" t="s">
        <v>130</v>
      </c>
      <c r="N36" s="35" t="s">
        <v>74</v>
      </c>
      <c r="O36" s="35" t="s">
        <v>75</v>
      </c>
      <c r="P36" s="26">
        <v>100.0</v>
      </c>
      <c r="Q36" s="33">
        <v>10.0</v>
      </c>
      <c r="R36" s="26" t="s">
        <v>40</v>
      </c>
      <c r="S36" s="26">
        <v>13.792</v>
      </c>
      <c r="T36" s="26">
        <v>5.086</v>
      </c>
      <c r="U36" s="26" t="s">
        <v>41</v>
      </c>
      <c r="V36" s="34"/>
      <c r="X36" s="65" t="s">
        <v>170</v>
      </c>
      <c r="Y36" s="54">
        <v>29000.0</v>
      </c>
      <c r="Z36" s="29">
        <f t="shared" si="1"/>
        <v>23200</v>
      </c>
    </row>
    <row r="37" ht="43.5" customHeight="1">
      <c r="A37" s="30"/>
      <c r="B37" s="56"/>
      <c r="C37" s="62" t="s">
        <v>171</v>
      </c>
      <c r="D37" s="63">
        <v>3107.0</v>
      </c>
      <c r="E37" s="64" t="s">
        <v>172</v>
      </c>
      <c r="F37" s="63">
        <v>228.0</v>
      </c>
      <c r="G37" s="63" t="s">
        <v>102</v>
      </c>
      <c r="H37" s="46"/>
      <c r="I37" s="46"/>
      <c r="J37" s="26" t="s">
        <v>35</v>
      </c>
      <c r="K37" s="26">
        <v>16.0</v>
      </c>
      <c r="L37" s="35" t="s">
        <v>129</v>
      </c>
      <c r="M37" s="35" t="s">
        <v>130</v>
      </c>
      <c r="N37" s="35" t="s">
        <v>79</v>
      </c>
      <c r="O37" s="35" t="s">
        <v>80</v>
      </c>
      <c r="P37" s="26">
        <v>200.0</v>
      </c>
      <c r="Q37" s="33">
        <v>5.0</v>
      </c>
      <c r="R37" s="26" t="s">
        <v>40</v>
      </c>
      <c r="S37" s="26">
        <v>13.792</v>
      </c>
      <c r="T37" s="26">
        <v>5.086</v>
      </c>
      <c r="U37" s="26" t="s">
        <v>41</v>
      </c>
      <c r="V37" s="34"/>
      <c r="X37" s="60"/>
      <c r="Y37" s="50">
        <v>50000.0</v>
      </c>
      <c r="Z37" s="29">
        <f t="shared" si="1"/>
        <v>40000</v>
      </c>
    </row>
    <row r="38" ht="43.5" customHeight="1">
      <c r="A38" s="30"/>
      <c r="B38" s="18"/>
      <c r="C38" s="19" t="s">
        <v>173</v>
      </c>
      <c r="D38" s="55">
        <v>3109.0</v>
      </c>
      <c r="E38" s="61" t="s">
        <v>174</v>
      </c>
      <c r="F38" s="55">
        <v>429.0</v>
      </c>
      <c r="G38" s="55" t="s">
        <v>102</v>
      </c>
      <c r="H38" s="32">
        <v>8.809668465365E12</v>
      </c>
      <c r="I38" s="32">
        <v>1.880966846536E12</v>
      </c>
      <c r="J38" s="26" t="s">
        <v>35</v>
      </c>
      <c r="K38" s="26">
        <v>18.0</v>
      </c>
      <c r="L38" s="35" t="s">
        <v>134</v>
      </c>
      <c r="M38" s="35" t="s">
        <v>175</v>
      </c>
      <c r="N38" s="35" t="s">
        <v>74</v>
      </c>
      <c r="O38" s="35" t="s">
        <v>75</v>
      </c>
      <c r="P38" s="26">
        <v>100.0</v>
      </c>
      <c r="Q38" s="33">
        <v>10.0</v>
      </c>
      <c r="R38" s="26" t="s">
        <v>40</v>
      </c>
      <c r="S38" s="26">
        <v>13.0</v>
      </c>
      <c r="T38" s="26">
        <v>3.98</v>
      </c>
      <c r="U38" s="26" t="s">
        <v>41</v>
      </c>
      <c r="V38" s="34"/>
      <c r="X38" s="65" t="s">
        <v>176</v>
      </c>
      <c r="Y38" s="54">
        <v>29000.0</v>
      </c>
      <c r="Z38" s="29">
        <f t="shared" si="1"/>
        <v>23200</v>
      </c>
    </row>
    <row r="39" ht="43.5" customHeight="1">
      <c r="A39" s="30"/>
      <c r="B39" s="18"/>
      <c r="C39" s="19" t="s">
        <v>177</v>
      </c>
      <c r="D39" s="26">
        <v>3218.0</v>
      </c>
      <c r="E39" s="31" t="s">
        <v>178</v>
      </c>
      <c r="F39" s="55">
        <v>836.0</v>
      </c>
      <c r="G39" s="55" t="s">
        <v>102</v>
      </c>
      <c r="H39" s="32">
        <v>8.809668465372E12</v>
      </c>
      <c r="I39" s="32">
        <v>1.880966846537E12</v>
      </c>
      <c r="J39" s="26" t="s">
        <v>35</v>
      </c>
      <c r="K39" s="26">
        <v>18.0</v>
      </c>
      <c r="L39" s="35" t="s">
        <v>138</v>
      </c>
      <c r="M39" s="35" t="s">
        <v>138</v>
      </c>
      <c r="N39" s="35" t="s">
        <v>74</v>
      </c>
      <c r="O39" s="35" t="s">
        <v>75</v>
      </c>
      <c r="P39" s="26">
        <v>100.0</v>
      </c>
      <c r="Q39" s="33">
        <v>10.0</v>
      </c>
      <c r="R39" s="26" t="s">
        <v>40</v>
      </c>
      <c r="S39" s="26">
        <v>9.95</v>
      </c>
      <c r="T39" s="26">
        <v>7.62</v>
      </c>
      <c r="U39" s="26" t="s">
        <v>41</v>
      </c>
      <c r="V39" s="34"/>
      <c r="X39" s="65" t="s">
        <v>179</v>
      </c>
      <c r="Y39" s="54">
        <v>29000.0</v>
      </c>
      <c r="Z39" s="29">
        <f t="shared" si="1"/>
        <v>23200</v>
      </c>
    </row>
    <row r="40" ht="43.5" customHeight="1">
      <c r="A40" s="30"/>
      <c r="B40" s="18"/>
      <c r="C40" s="19" t="s">
        <v>180</v>
      </c>
      <c r="D40" s="26">
        <v>3105.0</v>
      </c>
      <c r="E40" s="31" t="s">
        <v>181</v>
      </c>
      <c r="F40" s="26">
        <v>237.0</v>
      </c>
      <c r="G40" s="26" t="s">
        <v>102</v>
      </c>
      <c r="H40" s="32">
        <v>8.809668465389E12</v>
      </c>
      <c r="I40" s="32">
        <v>1.880966846538E12</v>
      </c>
      <c r="J40" s="26" t="s">
        <v>35</v>
      </c>
      <c r="K40" s="26">
        <v>21.0</v>
      </c>
      <c r="L40" s="35" t="s">
        <v>142</v>
      </c>
      <c r="M40" s="35" t="s">
        <v>143</v>
      </c>
      <c r="N40" s="35" t="s">
        <v>74</v>
      </c>
      <c r="O40" s="35" t="s">
        <v>75</v>
      </c>
      <c r="P40" s="26">
        <v>100.0</v>
      </c>
      <c r="Q40" s="33">
        <v>10.0</v>
      </c>
      <c r="R40" s="26" t="s">
        <v>40</v>
      </c>
      <c r="S40" s="26">
        <v>15.875</v>
      </c>
      <c r="T40" s="26">
        <v>7.62</v>
      </c>
      <c r="U40" s="26" t="s">
        <v>41</v>
      </c>
      <c r="V40" s="34"/>
      <c r="X40" s="65" t="s">
        <v>182</v>
      </c>
      <c r="Y40" s="54">
        <v>29000.0</v>
      </c>
      <c r="Z40" s="29">
        <f t="shared" si="1"/>
        <v>23200</v>
      </c>
    </row>
    <row r="41" ht="43.5" customHeight="1">
      <c r="A41" s="30"/>
      <c r="B41" s="36"/>
      <c r="C41" s="37" t="s">
        <v>183</v>
      </c>
      <c r="D41" s="38">
        <v>3106.0</v>
      </c>
      <c r="E41" s="31" t="s">
        <v>184</v>
      </c>
      <c r="F41" s="38">
        <v>238.0</v>
      </c>
      <c r="G41" s="26" t="s">
        <v>102</v>
      </c>
      <c r="H41" s="41">
        <v>8.809668465396E12</v>
      </c>
      <c r="I41" s="41">
        <v>1.880966846539E12</v>
      </c>
      <c r="J41" s="26" t="s">
        <v>35</v>
      </c>
      <c r="K41" s="26">
        <v>24.0</v>
      </c>
      <c r="L41" s="42" t="s">
        <v>147</v>
      </c>
      <c r="M41" s="35" t="s">
        <v>148</v>
      </c>
      <c r="N41" s="35" t="s">
        <v>74</v>
      </c>
      <c r="O41" s="35" t="s">
        <v>75</v>
      </c>
      <c r="P41" s="26">
        <v>100.0</v>
      </c>
      <c r="Q41" s="33">
        <v>10.0</v>
      </c>
      <c r="R41" s="26" t="s">
        <v>40</v>
      </c>
      <c r="S41" s="26">
        <v>13.0</v>
      </c>
      <c r="T41" s="26">
        <v>6.5</v>
      </c>
      <c r="U41" s="26" t="s">
        <v>41</v>
      </c>
      <c r="V41" s="34"/>
      <c r="X41" s="28" t="s">
        <v>185</v>
      </c>
      <c r="Y41" s="54">
        <v>29000.0</v>
      </c>
      <c r="Z41" s="29">
        <f t="shared" si="1"/>
        <v>23200</v>
      </c>
    </row>
    <row r="42" ht="43.5" customHeight="1">
      <c r="A42" s="17" t="s">
        <v>186</v>
      </c>
      <c r="B42" s="18"/>
      <c r="C42" s="19" t="s">
        <v>187</v>
      </c>
      <c r="D42" s="20">
        <v>3104.0</v>
      </c>
      <c r="E42" s="21" t="s">
        <v>188</v>
      </c>
      <c r="F42" s="20">
        <v>239.0</v>
      </c>
      <c r="G42" s="20" t="s">
        <v>189</v>
      </c>
      <c r="H42" s="23">
        <v>8.809668465402E12</v>
      </c>
      <c r="I42" s="23">
        <v>1.88096684654E12</v>
      </c>
      <c r="J42" s="20" t="s">
        <v>35</v>
      </c>
      <c r="K42" s="20">
        <v>27.0</v>
      </c>
      <c r="L42" s="24" t="s">
        <v>190</v>
      </c>
      <c r="M42" s="24" t="s">
        <v>191</v>
      </c>
      <c r="N42" s="24" t="s">
        <v>38</v>
      </c>
      <c r="O42" s="24" t="s">
        <v>39</v>
      </c>
      <c r="P42" s="20">
        <v>20.0</v>
      </c>
      <c r="Q42" s="25">
        <v>25.0</v>
      </c>
      <c r="R42" s="20" t="s">
        <v>40</v>
      </c>
      <c r="S42" s="20">
        <v>10.8</v>
      </c>
      <c r="T42" s="20">
        <v>8.7</v>
      </c>
      <c r="U42" s="20" t="s">
        <v>41</v>
      </c>
      <c r="V42" s="27"/>
      <c r="X42" s="28" t="s">
        <v>192</v>
      </c>
      <c r="Y42" s="54">
        <v>8000.0</v>
      </c>
      <c r="Z42" s="29">
        <f t="shared" si="1"/>
        <v>6400</v>
      </c>
    </row>
    <row r="43" ht="43.5" customHeight="1">
      <c r="A43" s="30"/>
      <c r="B43" s="18"/>
      <c r="C43" s="19" t="s">
        <v>193</v>
      </c>
      <c r="D43" s="26">
        <v>3102.0</v>
      </c>
      <c r="E43" s="31" t="s">
        <v>194</v>
      </c>
      <c r="F43" s="26">
        <v>540.0</v>
      </c>
      <c r="G43" s="26" t="s">
        <v>189</v>
      </c>
      <c r="H43" s="32">
        <v>8.809668465419E12</v>
      </c>
      <c r="I43" s="32">
        <v>1.880966846541E12</v>
      </c>
      <c r="J43" s="26" t="s">
        <v>35</v>
      </c>
      <c r="K43" s="26">
        <v>40.0</v>
      </c>
      <c r="L43" s="35" t="s">
        <v>195</v>
      </c>
      <c r="M43" s="35" t="s">
        <v>196</v>
      </c>
      <c r="N43" s="35" t="s">
        <v>38</v>
      </c>
      <c r="O43" s="35" t="s">
        <v>39</v>
      </c>
      <c r="P43" s="26">
        <v>20.0</v>
      </c>
      <c r="Q43" s="33">
        <v>25.0</v>
      </c>
      <c r="R43" s="26" t="s">
        <v>40</v>
      </c>
      <c r="S43" s="26">
        <v>14.0</v>
      </c>
      <c r="T43" s="26">
        <v>7.5</v>
      </c>
      <c r="U43" s="26" t="s">
        <v>41</v>
      </c>
      <c r="V43" s="34"/>
      <c r="X43" s="28" t="s">
        <v>197</v>
      </c>
      <c r="Y43" s="54">
        <v>8000.0</v>
      </c>
      <c r="Z43" s="29">
        <f t="shared" si="1"/>
        <v>6400</v>
      </c>
    </row>
    <row r="44" ht="43.5" customHeight="1">
      <c r="A44" s="30"/>
      <c r="B44" s="18"/>
      <c r="C44" s="19" t="s">
        <v>198</v>
      </c>
      <c r="D44" s="26"/>
      <c r="E44" s="31" t="s">
        <v>199</v>
      </c>
      <c r="F44" s="26">
        <v>547.0</v>
      </c>
      <c r="G44" s="26" t="s">
        <v>189</v>
      </c>
      <c r="H44" s="32">
        <v>8.809668465426E12</v>
      </c>
      <c r="I44" s="32">
        <v>1.880966846542E12</v>
      </c>
      <c r="J44" s="26" t="s">
        <v>35</v>
      </c>
      <c r="K44" s="26">
        <v>48.0</v>
      </c>
      <c r="L44" s="35" t="s">
        <v>200</v>
      </c>
      <c r="M44" s="35" t="s">
        <v>201</v>
      </c>
      <c r="N44" s="35" t="s">
        <v>38</v>
      </c>
      <c r="O44" s="35" t="s">
        <v>39</v>
      </c>
      <c r="P44" s="26">
        <v>20.0</v>
      </c>
      <c r="Q44" s="33">
        <v>25.0</v>
      </c>
      <c r="R44" s="26" t="s">
        <v>40</v>
      </c>
      <c r="S44" s="26">
        <v>21.41</v>
      </c>
      <c r="T44" s="26">
        <v>9.75</v>
      </c>
      <c r="U44" s="26" t="s">
        <v>41</v>
      </c>
      <c r="V44" s="34"/>
      <c r="X44" s="28" t="s">
        <v>202</v>
      </c>
      <c r="Y44" s="54">
        <v>8000.0</v>
      </c>
      <c r="Z44" s="29">
        <f t="shared" si="1"/>
        <v>6400</v>
      </c>
    </row>
    <row r="45" ht="43.5" customHeight="1">
      <c r="A45" s="30"/>
      <c r="B45" s="18"/>
      <c r="C45" s="19" t="s">
        <v>203</v>
      </c>
      <c r="D45" s="26">
        <v>3110.0</v>
      </c>
      <c r="E45" s="31" t="s">
        <v>204</v>
      </c>
      <c r="F45" s="26">
        <v>554.0</v>
      </c>
      <c r="G45" s="26" t="s">
        <v>189</v>
      </c>
      <c r="H45" s="32">
        <v>8.809668465433E12</v>
      </c>
      <c r="I45" s="32">
        <v>1.880966846543E12</v>
      </c>
      <c r="J45" s="26" t="s">
        <v>35</v>
      </c>
      <c r="K45" s="26">
        <v>54.0</v>
      </c>
      <c r="L45" s="35" t="s">
        <v>205</v>
      </c>
      <c r="M45" s="35" t="s">
        <v>205</v>
      </c>
      <c r="N45" s="35" t="s">
        <v>38</v>
      </c>
      <c r="O45" s="35" t="s">
        <v>39</v>
      </c>
      <c r="P45" s="26">
        <v>20.0</v>
      </c>
      <c r="Q45" s="33">
        <v>25.0</v>
      </c>
      <c r="R45" s="26" t="s">
        <v>40</v>
      </c>
      <c r="S45" s="26">
        <v>7.0</v>
      </c>
      <c r="T45" s="26">
        <v>18.0</v>
      </c>
      <c r="U45" s="26" t="s">
        <v>41</v>
      </c>
      <c r="V45" s="34"/>
      <c r="X45" s="28" t="s">
        <v>206</v>
      </c>
      <c r="Y45" s="54">
        <v>8000.0</v>
      </c>
      <c r="Z45" s="29">
        <f t="shared" si="1"/>
        <v>6400</v>
      </c>
    </row>
    <row r="46" ht="43.5" customHeight="1">
      <c r="A46" s="30"/>
      <c r="B46" s="18"/>
      <c r="C46" s="19" t="s">
        <v>207</v>
      </c>
      <c r="D46" s="26">
        <v>3101.0</v>
      </c>
      <c r="E46" s="31" t="s">
        <v>208</v>
      </c>
      <c r="F46" s="26">
        <v>562.0</v>
      </c>
      <c r="G46" s="26" t="s">
        <v>189</v>
      </c>
      <c r="H46" s="32">
        <v>8.80966846544E12</v>
      </c>
      <c r="I46" s="32">
        <v>1.880966846544E12</v>
      </c>
      <c r="J46" s="26" t="s">
        <v>35</v>
      </c>
      <c r="K46" s="26">
        <v>60.0</v>
      </c>
      <c r="L46" s="35" t="s">
        <v>209</v>
      </c>
      <c r="M46" s="35" t="s">
        <v>210</v>
      </c>
      <c r="N46" s="35" t="s">
        <v>38</v>
      </c>
      <c r="O46" s="35" t="s">
        <v>39</v>
      </c>
      <c r="P46" s="26">
        <v>20.0</v>
      </c>
      <c r="Q46" s="33">
        <v>25.0</v>
      </c>
      <c r="R46" s="26" t="s">
        <v>40</v>
      </c>
      <c r="S46" s="26">
        <v>23.5</v>
      </c>
      <c r="T46" s="26">
        <v>6.0</v>
      </c>
      <c r="U46" s="26" t="s">
        <v>41</v>
      </c>
      <c r="V46" s="34"/>
      <c r="X46" s="28" t="s">
        <v>211</v>
      </c>
      <c r="Y46" s="54">
        <v>8000.0</v>
      </c>
      <c r="Z46" s="29">
        <f t="shared" si="1"/>
        <v>6400</v>
      </c>
    </row>
    <row r="47" ht="43.5" customHeight="1">
      <c r="A47" s="30"/>
      <c r="B47" s="36"/>
      <c r="C47" s="37" t="s">
        <v>212</v>
      </c>
      <c r="D47" s="38">
        <v>3100.0</v>
      </c>
      <c r="E47" s="39" t="s">
        <v>213</v>
      </c>
      <c r="F47" s="38">
        <v>551.0</v>
      </c>
      <c r="G47" s="38" t="s">
        <v>189</v>
      </c>
      <c r="H47" s="41">
        <v>8.809668465457E12</v>
      </c>
      <c r="I47" s="41">
        <v>1.880966846545E12</v>
      </c>
      <c r="J47" s="38" t="s">
        <v>35</v>
      </c>
      <c r="K47" s="38">
        <v>65.0</v>
      </c>
      <c r="L47" s="42" t="s">
        <v>214</v>
      </c>
      <c r="M47" s="42" t="s">
        <v>215</v>
      </c>
      <c r="N47" s="42" t="s">
        <v>38</v>
      </c>
      <c r="O47" s="42" t="s">
        <v>39</v>
      </c>
      <c r="P47" s="38">
        <v>20.0</v>
      </c>
      <c r="Q47" s="43">
        <v>25.0</v>
      </c>
      <c r="R47" s="38" t="s">
        <v>40</v>
      </c>
      <c r="S47" s="38">
        <v>12.19</v>
      </c>
      <c r="T47" s="38">
        <v>5.09</v>
      </c>
      <c r="U47" s="38" t="s">
        <v>41</v>
      </c>
      <c r="V47" s="44"/>
      <c r="X47" s="28" t="s">
        <v>216</v>
      </c>
      <c r="Y47" s="54">
        <v>8000.0</v>
      </c>
      <c r="Z47" s="29">
        <f t="shared" si="1"/>
        <v>6400</v>
      </c>
    </row>
    <row r="48" ht="43.5" customHeight="1">
      <c r="A48" s="30"/>
      <c r="B48" s="18"/>
      <c r="C48" s="19" t="s">
        <v>217</v>
      </c>
      <c r="D48" s="20">
        <v>3104.0</v>
      </c>
      <c r="E48" s="31" t="s">
        <v>218</v>
      </c>
      <c r="F48" s="20">
        <v>239.0</v>
      </c>
      <c r="G48" s="26" t="s">
        <v>189</v>
      </c>
      <c r="H48" s="23">
        <v>8.809668465464E12</v>
      </c>
      <c r="I48" s="23">
        <v>1.880966846546E12</v>
      </c>
      <c r="J48" s="26" t="s">
        <v>35</v>
      </c>
      <c r="K48" s="26">
        <v>27.0</v>
      </c>
      <c r="L48" s="35" t="s">
        <v>190</v>
      </c>
      <c r="M48" s="35" t="s">
        <v>191</v>
      </c>
      <c r="N48" s="35" t="s">
        <v>74</v>
      </c>
      <c r="O48" s="35" t="s">
        <v>75</v>
      </c>
      <c r="P48" s="26">
        <v>100.0</v>
      </c>
      <c r="Q48" s="33">
        <v>10.0</v>
      </c>
      <c r="R48" s="26" t="s">
        <v>40</v>
      </c>
      <c r="S48" s="26">
        <v>10.8</v>
      </c>
      <c r="T48" s="26">
        <v>8.7</v>
      </c>
      <c r="U48" s="26" t="s">
        <v>41</v>
      </c>
      <c r="V48" s="34"/>
      <c r="X48" s="28" t="s">
        <v>219</v>
      </c>
      <c r="Y48" s="54">
        <v>29000.0</v>
      </c>
      <c r="Z48" s="29">
        <f t="shared" si="1"/>
        <v>23200</v>
      </c>
    </row>
    <row r="49" ht="43.5" customHeight="1">
      <c r="A49" s="30"/>
      <c r="B49" s="18"/>
      <c r="C49" s="19" t="s">
        <v>220</v>
      </c>
      <c r="D49" s="26">
        <v>3102.0</v>
      </c>
      <c r="E49" s="31" t="s">
        <v>221</v>
      </c>
      <c r="F49" s="26">
        <v>540.0</v>
      </c>
      <c r="G49" s="26" t="s">
        <v>189</v>
      </c>
      <c r="H49" s="32">
        <v>8.809668465471E12</v>
      </c>
      <c r="I49" s="32">
        <v>1.880966846547E12</v>
      </c>
      <c r="J49" s="26" t="s">
        <v>35</v>
      </c>
      <c r="K49" s="26">
        <v>40.0</v>
      </c>
      <c r="L49" s="35" t="s">
        <v>195</v>
      </c>
      <c r="M49" s="35" t="s">
        <v>196</v>
      </c>
      <c r="N49" s="35" t="s">
        <v>74</v>
      </c>
      <c r="O49" s="35" t="s">
        <v>75</v>
      </c>
      <c r="P49" s="26">
        <v>100.0</v>
      </c>
      <c r="Q49" s="33">
        <v>10.0</v>
      </c>
      <c r="R49" s="26" t="s">
        <v>40</v>
      </c>
      <c r="S49" s="26">
        <v>14.0</v>
      </c>
      <c r="T49" s="26">
        <v>7.5</v>
      </c>
      <c r="U49" s="26" t="s">
        <v>41</v>
      </c>
      <c r="V49" s="34"/>
      <c r="X49" s="28" t="s">
        <v>222</v>
      </c>
      <c r="Y49" s="54">
        <v>29000.0</v>
      </c>
      <c r="Z49" s="29">
        <f t="shared" si="1"/>
        <v>23200</v>
      </c>
    </row>
    <row r="50" ht="43.5" customHeight="1">
      <c r="A50" s="30"/>
      <c r="B50" s="18"/>
      <c r="C50" s="19" t="s">
        <v>223</v>
      </c>
      <c r="D50" s="26"/>
      <c r="E50" s="31" t="s">
        <v>224</v>
      </c>
      <c r="F50" s="26">
        <v>547.0</v>
      </c>
      <c r="G50" s="26" t="s">
        <v>189</v>
      </c>
      <c r="H50" s="32">
        <v>8.809668465488E12</v>
      </c>
      <c r="I50" s="32">
        <v>1.880966846548E12</v>
      </c>
      <c r="J50" s="26" t="s">
        <v>35</v>
      </c>
      <c r="K50" s="26">
        <v>48.0</v>
      </c>
      <c r="L50" s="35" t="s">
        <v>225</v>
      </c>
      <c r="M50" s="35" t="s">
        <v>201</v>
      </c>
      <c r="N50" s="35" t="s">
        <v>74</v>
      </c>
      <c r="O50" s="35" t="s">
        <v>75</v>
      </c>
      <c r="P50" s="26">
        <v>100.0</v>
      </c>
      <c r="Q50" s="33">
        <v>10.0</v>
      </c>
      <c r="R50" s="26" t="s">
        <v>40</v>
      </c>
      <c r="S50" s="26">
        <v>21.41</v>
      </c>
      <c r="T50" s="26">
        <v>9.75</v>
      </c>
      <c r="U50" s="26" t="s">
        <v>41</v>
      </c>
      <c r="V50" s="34"/>
      <c r="X50" s="28" t="s">
        <v>226</v>
      </c>
      <c r="Y50" s="54">
        <v>29000.0</v>
      </c>
      <c r="Z50" s="29">
        <f t="shared" si="1"/>
        <v>23200</v>
      </c>
    </row>
    <row r="51" ht="43.5" customHeight="1">
      <c r="A51" s="30"/>
      <c r="B51" s="18"/>
      <c r="C51" s="19" t="s">
        <v>227</v>
      </c>
      <c r="D51" s="26">
        <v>3110.0</v>
      </c>
      <c r="E51" s="31" t="s">
        <v>228</v>
      </c>
      <c r="F51" s="26">
        <v>554.0</v>
      </c>
      <c r="G51" s="26" t="s">
        <v>189</v>
      </c>
      <c r="H51" s="32">
        <v>8.809668465495E12</v>
      </c>
      <c r="I51" s="32">
        <v>1.880966846549E12</v>
      </c>
      <c r="J51" s="26" t="s">
        <v>35</v>
      </c>
      <c r="K51" s="26">
        <v>54.0</v>
      </c>
      <c r="L51" s="35" t="s">
        <v>205</v>
      </c>
      <c r="M51" s="35" t="s">
        <v>205</v>
      </c>
      <c r="N51" s="35" t="s">
        <v>74</v>
      </c>
      <c r="O51" s="35" t="s">
        <v>75</v>
      </c>
      <c r="P51" s="26">
        <v>100.0</v>
      </c>
      <c r="Q51" s="33">
        <v>10.0</v>
      </c>
      <c r="R51" s="26" t="s">
        <v>40</v>
      </c>
      <c r="S51" s="26">
        <v>7.0</v>
      </c>
      <c r="T51" s="26">
        <v>18.0</v>
      </c>
      <c r="U51" s="26" t="s">
        <v>41</v>
      </c>
      <c r="V51" s="34"/>
      <c r="X51" s="28" t="s">
        <v>229</v>
      </c>
      <c r="Y51" s="54">
        <v>29000.0</v>
      </c>
      <c r="Z51" s="29">
        <f t="shared" si="1"/>
        <v>23200</v>
      </c>
    </row>
    <row r="52" ht="43.5" customHeight="1">
      <c r="A52" s="30"/>
      <c r="B52" s="18"/>
      <c r="C52" s="19" t="s">
        <v>230</v>
      </c>
      <c r="D52" s="26">
        <v>3101.0</v>
      </c>
      <c r="E52" s="31" t="s">
        <v>231</v>
      </c>
      <c r="F52" s="26">
        <v>562.0</v>
      </c>
      <c r="G52" s="26" t="s">
        <v>189</v>
      </c>
      <c r="H52" s="32">
        <v>8.809668465501E12</v>
      </c>
      <c r="I52" s="32">
        <v>1.88096684655E12</v>
      </c>
      <c r="J52" s="26" t="s">
        <v>35</v>
      </c>
      <c r="K52" s="26">
        <v>60.0</v>
      </c>
      <c r="L52" s="35" t="s">
        <v>209</v>
      </c>
      <c r="M52" s="35" t="s">
        <v>210</v>
      </c>
      <c r="N52" s="35" t="s">
        <v>74</v>
      </c>
      <c r="O52" s="35" t="s">
        <v>75</v>
      </c>
      <c r="P52" s="26">
        <v>100.0</v>
      </c>
      <c r="Q52" s="33">
        <v>10.0</v>
      </c>
      <c r="R52" s="26" t="s">
        <v>40</v>
      </c>
      <c r="S52" s="26">
        <v>23.5</v>
      </c>
      <c r="T52" s="26">
        <v>6.0</v>
      </c>
      <c r="U52" s="26" t="s">
        <v>41</v>
      </c>
      <c r="V52" s="34"/>
      <c r="X52" s="28" t="s">
        <v>232</v>
      </c>
      <c r="Y52" s="54">
        <v>29000.0</v>
      </c>
      <c r="Z52" s="29">
        <f t="shared" si="1"/>
        <v>23200</v>
      </c>
    </row>
    <row r="53" ht="43.5" customHeight="1">
      <c r="A53" s="66"/>
      <c r="B53" s="36"/>
      <c r="C53" s="37" t="s">
        <v>233</v>
      </c>
      <c r="D53" s="38">
        <v>3100.0</v>
      </c>
      <c r="E53" s="67" t="s">
        <v>234</v>
      </c>
      <c r="F53" s="38">
        <v>551.0</v>
      </c>
      <c r="G53" s="68" t="s">
        <v>189</v>
      </c>
      <c r="H53" s="41">
        <v>8.809668465518E12</v>
      </c>
      <c r="I53" s="41">
        <v>1.880966846551E12</v>
      </c>
      <c r="J53" s="68" t="s">
        <v>35</v>
      </c>
      <c r="K53" s="68">
        <v>65.0</v>
      </c>
      <c r="L53" s="69" t="s">
        <v>214</v>
      </c>
      <c r="M53" s="69" t="s">
        <v>215</v>
      </c>
      <c r="N53" s="42" t="s">
        <v>74</v>
      </c>
      <c r="O53" s="42" t="s">
        <v>75</v>
      </c>
      <c r="P53" s="68">
        <v>100.0</v>
      </c>
      <c r="Q53" s="70">
        <v>10.0</v>
      </c>
      <c r="R53" s="68" t="s">
        <v>40</v>
      </c>
      <c r="S53" s="68">
        <v>12.19</v>
      </c>
      <c r="T53" s="68">
        <v>5.09</v>
      </c>
      <c r="U53" s="68" t="s">
        <v>41</v>
      </c>
      <c r="V53" s="71"/>
      <c r="X53" s="28" t="s">
        <v>235</v>
      </c>
      <c r="Y53" s="54">
        <v>29000.0</v>
      </c>
      <c r="Z53" s="29">
        <f t="shared" si="1"/>
        <v>23200</v>
      </c>
    </row>
    <row r="54" ht="43.5" customHeight="1">
      <c r="A54" s="72" t="s">
        <v>236</v>
      </c>
      <c r="B54" s="18"/>
      <c r="C54" s="19" t="s">
        <v>237</v>
      </c>
      <c r="D54" s="26"/>
      <c r="E54" s="31" t="s">
        <v>238</v>
      </c>
      <c r="F54" s="26"/>
      <c r="G54" s="26" t="s">
        <v>239</v>
      </c>
      <c r="H54" s="23">
        <v>8.809668465525E12</v>
      </c>
      <c r="I54" s="23">
        <v>1.880966846552E12</v>
      </c>
      <c r="J54" s="26" t="s">
        <v>35</v>
      </c>
      <c r="K54" s="26">
        <v>5.0</v>
      </c>
      <c r="L54" s="35" t="s">
        <v>240</v>
      </c>
      <c r="M54" s="35" t="s">
        <v>240</v>
      </c>
      <c r="N54" s="35" t="s">
        <v>38</v>
      </c>
      <c r="O54" s="35" t="s">
        <v>39</v>
      </c>
      <c r="P54" s="26">
        <v>20.0</v>
      </c>
      <c r="Q54" s="33">
        <v>25.0</v>
      </c>
      <c r="R54" s="26" t="s">
        <v>40</v>
      </c>
      <c r="S54" s="26">
        <v>23.5</v>
      </c>
      <c r="T54" s="26">
        <v>10.0</v>
      </c>
      <c r="U54" s="26" t="s">
        <v>41</v>
      </c>
      <c r="V54" s="34"/>
      <c r="X54" s="28" t="s">
        <v>241</v>
      </c>
      <c r="Y54" s="54">
        <v>8000.0</v>
      </c>
      <c r="Z54" s="29">
        <f t="shared" si="1"/>
        <v>6400</v>
      </c>
    </row>
    <row r="55" ht="43.5" customHeight="1">
      <c r="A55" s="30"/>
      <c r="B55" s="18"/>
      <c r="C55" s="19" t="s">
        <v>242</v>
      </c>
      <c r="D55" s="26">
        <v>3627.0</v>
      </c>
      <c r="E55" s="61" t="s">
        <v>243</v>
      </c>
      <c r="F55" s="26">
        <v>642.0</v>
      </c>
      <c r="G55" s="26" t="s">
        <v>239</v>
      </c>
      <c r="H55" s="32">
        <v>8.809668465532E12</v>
      </c>
      <c r="I55" s="32">
        <v>1.880966846553E12</v>
      </c>
      <c r="J55" s="26" t="s">
        <v>35</v>
      </c>
      <c r="K55" s="26">
        <v>8.0</v>
      </c>
      <c r="L55" s="35" t="s">
        <v>244</v>
      </c>
      <c r="M55" s="35" t="s">
        <v>244</v>
      </c>
      <c r="N55" s="35" t="s">
        <v>38</v>
      </c>
      <c r="O55" s="35" t="s">
        <v>39</v>
      </c>
      <c r="P55" s="26">
        <v>20.0</v>
      </c>
      <c r="Q55" s="33">
        <v>25.0</v>
      </c>
      <c r="R55" s="26" t="s">
        <v>40</v>
      </c>
      <c r="S55" s="26">
        <v>15.0</v>
      </c>
      <c r="T55" s="26">
        <v>9.0</v>
      </c>
      <c r="U55" s="26" t="s">
        <v>41</v>
      </c>
      <c r="V55" s="34"/>
      <c r="X55" s="28" t="s">
        <v>245</v>
      </c>
      <c r="Y55" s="54">
        <v>8000.0</v>
      </c>
      <c r="Z55" s="29">
        <f t="shared" si="1"/>
        <v>6400</v>
      </c>
    </row>
    <row r="56" ht="43.5" customHeight="1">
      <c r="A56" s="30"/>
      <c r="B56" s="18"/>
      <c r="C56" s="19" t="s">
        <v>246</v>
      </c>
      <c r="D56" s="26">
        <v>3624.0</v>
      </c>
      <c r="E56" s="61" t="s">
        <v>247</v>
      </c>
      <c r="F56" s="26">
        <v>619.0</v>
      </c>
      <c r="G56" s="26" t="s">
        <v>239</v>
      </c>
      <c r="H56" s="32">
        <v>8.809668465549E12</v>
      </c>
      <c r="I56" s="32">
        <v>1.880966846554E12</v>
      </c>
      <c r="J56" s="26" t="s">
        <v>35</v>
      </c>
      <c r="K56" s="26">
        <v>9.0</v>
      </c>
      <c r="L56" s="35" t="s">
        <v>248</v>
      </c>
      <c r="M56" s="35" t="s">
        <v>248</v>
      </c>
      <c r="N56" s="35" t="s">
        <v>38</v>
      </c>
      <c r="O56" s="48" t="s">
        <v>39</v>
      </c>
      <c r="P56" s="55">
        <v>20.0</v>
      </c>
      <c r="Q56" s="33">
        <v>25.0</v>
      </c>
      <c r="R56" s="26" t="s">
        <v>40</v>
      </c>
      <c r="S56" s="26">
        <v>22.5</v>
      </c>
      <c r="T56" s="26">
        <v>30.0</v>
      </c>
      <c r="U56" s="26" t="s">
        <v>41</v>
      </c>
      <c r="V56" s="34"/>
      <c r="X56" s="28" t="s">
        <v>249</v>
      </c>
      <c r="Y56" s="54">
        <v>8000.0</v>
      </c>
      <c r="Z56" s="29">
        <f t="shared" si="1"/>
        <v>6400</v>
      </c>
    </row>
    <row r="57" ht="43.5" customHeight="1">
      <c r="A57" s="30"/>
      <c r="B57" s="18"/>
      <c r="C57" s="19" t="s">
        <v>250</v>
      </c>
      <c r="D57" s="26"/>
      <c r="E57" s="61" t="s">
        <v>251</v>
      </c>
      <c r="F57" s="26"/>
      <c r="G57" s="26" t="s">
        <v>239</v>
      </c>
      <c r="H57" s="32">
        <v>8.809668465556E12</v>
      </c>
      <c r="I57" s="32">
        <v>1.880966846555E12</v>
      </c>
      <c r="J57" s="26" t="s">
        <v>35</v>
      </c>
      <c r="K57" s="26">
        <v>12.0</v>
      </c>
      <c r="L57" s="35" t="s">
        <v>252</v>
      </c>
      <c r="M57" s="35" t="s">
        <v>252</v>
      </c>
      <c r="N57" s="35" t="s">
        <v>38</v>
      </c>
      <c r="O57" s="48" t="s">
        <v>39</v>
      </c>
      <c r="P57" s="55">
        <v>20.0</v>
      </c>
      <c r="Q57" s="33">
        <v>25.0</v>
      </c>
      <c r="R57" s="26" t="s">
        <v>40</v>
      </c>
      <c r="S57" s="26">
        <v>15.748</v>
      </c>
      <c r="T57" s="26">
        <v>5.84</v>
      </c>
      <c r="U57" s="26" t="s">
        <v>41</v>
      </c>
      <c r="V57" s="34"/>
      <c r="X57" s="28" t="s">
        <v>253</v>
      </c>
      <c r="Y57" s="54">
        <v>8000.0</v>
      </c>
      <c r="Z57" s="29">
        <f t="shared" si="1"/>
        <v>6400</v>
      </c>
    </row>
    <row r="58" ht="43.5" customHeight="1">
      <c r="A58" s="30"/>
      <c r="B58" s="73"/>
      <c r="C58" s="62" t="s">
        <v>254</v>
      </c>
      <c r="D58" s="63"/>
      <c r="E58" s="64" t="s">
        <v>255</v>
      </c>
      <c r="F58" s="63">
        <v>220.0</v>
      </c>
      <c r="G58" s="63" t="s">
        <v>239</v>
      </c>
      <c r="H58" s="32">
        <v>8.809668465563E12</v>
      </c>
      <c r="I58" s="32">
        <v>1.880966846556E12</v>
      </c>
      <c r="J58" s="63" t="s">
        <v>35</v>
      </c>
      <c r="K58" s="63">
        <v>20.0</v>
      </c>
      <c r="L58" s="74" t="s">
        <v>256</v>
      </c>
      <c r="M58" s="74" t="s">
        <v>256</v>
      </c>
      <c r="N58" s="74" t="s">
        <v>38</v>
      </c>
      <c r="O58" s="74" t="s">
        <v>39</v>
      </c>
      <c r="P58" s="55">
        <v>20.0</v>
      </c>
      <c r="Q58" s="75">
        <v>25.0</v>
      </c>
      <c r="R58" s="55" t="s">
        <v>40</v>
      </c>
      <c r="S58" s="47">
        <v>8.0</v>
      </c>
      <c r="T58" s="55">
        <v>18.5</v>
      </c>
      <c r="U58" s="47" t="s">
        <v>41</v>
      </c>
      <c r="V58" s="76"/>
      <c r="X58" s="65" t="s">
        <v>257</v>
      </c>
      <c r="Y58" s="54">
        <v>8000.0</v>
      </c>
      <c r="Z58" s="29">
        <f t="shared" si="1"/>
        <v>6400</v>
      </c>
    </row>
    <row r="59" ht="43.5" customHeight="1">
      <c r="A59" s="30"/>
      <c r="B59" s="73"/>
      <c r="C59" s="62" t="s">
        <v>258</v>
      </c>
      <c r="D59" s="63"/>
      <c r="E59" s="64" t="s">
        <v>259</v>
      </c>
      <c r="F59" s="63"/>
      <c r="G59" s="63" t="s">
        <v>239</v>
      </c>
      <c r="H59" s="32">
        <v>8.80966846557E12</v>
      </c>
      <c r="I59" s="32">
        <v>1.880966846557E12</v>
      </c>
      <c r="J59" s="63" t="s">
        <v>35</v>
      </c>
      <c r="K59" s="63">
        <v>24.0</v>
      </c>
      <c r="L59" s="74" t="s">
        <v>260</v>
      </c>
      <c r="M59" s="74" t="s">
        <v>260</v>
      </c>
      <c r="N59" s="74" t="s">
        <v>38</v>
      </c>
      <c r="O59" s="74" t="s">
        <v>75</v>
      </c>
      <c r="P59" s="55">
        <v>20.0</v>
      </c>
      <c r="Q59" s="75">
        <v>25.0</v>
      </c>
      <c r="R59" s="55" t="s">
        <v>40</v>
      </c>
      <c r="S59" s="47">
        <v>13.5</v>
      </c>
      <c r="T59" s="55">
        <v>16.0</v>
      </c>
      <c r="U59" s="47" t="s">
        <v>41</v>
      </c>
      <c r="V59" s="76"/>
      <c r="X59" s="65" t="s">
        <v>261</v>
      </c>
      <c r="Y59" s="54">
        <v>8000.0</v>
      </c>
      <c r="Z59" s="29">
        <f t="shared" si="1"/>
        <v>6400</v>
      </c>
    </row>
    <row r="60" ht="43.5" customHeight="1">
      <c r="A60" s="30"/>
      <c r="B60" s="73"/>
      <c r="C60" s="62" t="s">
        <v>262</v>
      </c>
      <c r="D60" s="63"/>
      <c r="E60" s="64" t="s">
        <v>263</v>
      </c>
      <c r="F60" s="63">
        <v>231.0</v>
      </c>
      <c r="G60" s="63" t="s">
        <v>239</v>
      </c>
      <c r="H60" s="32">
        <v>8.809668465587E12</v>
      </c>
      <c r="I60" s="32">
        <v>1.880966846558E12</v>
      </c>
      <c r="J60" s="63" t="s">
        <v>35</v>
      </c>
      <c r="K60" s="63">
        <v>33.0</v>
      </c>
      <c r="L60" s="74" t="s">
        <v>264</v>
      </c>
      <c r="M60" s="74" t="s">
        <v>264</v>
      </c>
      <c r="N60" s="74" t="s">
        <v>38</v>
      </c>
      <c r="O60" s="74" t="s">
        <v>75</v>
      </c>
      <c r="P60" s="55">
        <v>20.0</v>
      </c>
      <c r="Q60" s="75">
        <v>25.0</v>
      </c>
      <c r="R60" s="55" t="s">
        <v>40</v>
      </c>
      <c r="S60" s="47">
        <v>15.0</v>
      </c>
      <c r="T60" s="55">
        <v>8.5</v>
      </c>
      <c r="U60" s="47" t="s">
        <v>41</v>
      </c>
      <c r="V60" s="76"/>
      <c r="X60" s="65" t="s">
        <v>265</v>
      </c>
      <c r="Y60" s="54">
        <v>8000.0</v>
      </c>
      <c r="Z60" s="29">
        <f t="shared" si="1"/>
        <v>6400</v>
      </c>
    </row>
    <row r="61" ht="43.5" customHeight="1">
      <c r="A61" s="30"/>
      <c r="B61" s="73"/>
      <c r="C61" s="62" t="s">
        <v>266</v>
      </c>
      <c r="D61" s="63">
        <v>3621.0</v>
      </c>
      <c r="E61" s="64" t="s">
        <v>267</v>
      </c>
      <c r="F61" s="63">
        <v>636.0</v>
      </c>
      <c r="G61" s="63" t="s">
        <v>239</v>
      </c>
      <c r="H61" s="32">
        <v>8.809668465594E12</v>
      </c>
      <c r="I61" s="32">
        <v>1.880966846559E12</v>
      </c>
      <c r="J61" s="63" t="s">
        <v>35</v>
      </c>
      <c r="K61" s="63">
        <v>36.0</v>
      </c>
      <c r="L61" s="74" t="s">
        <v>268</v>
      </c>
      <c r="M61" s="74" t="s">
        <v>268</v>
      </c>
      <c r="N61" s="74" t="s">
        <v>38</v>
      </c>
      <c r="O61" s="74" t="s">
        <v>75</v>
      </c>
      <c r="P61" s="55">
        <v>20.0</v>
      </c>
      <c r="Q61" s="75">
        <v>25.0</v>
      </c>
      <c r="R61" s="55" t="s">
        <v>40</v>
      </c>
      <c r="S61" s="47">
        <v>22.5</v>
      </c>
      <c r="T61" s="55">
        <v>9.0</v>
      </c>
      <c r="U61" s="47" t="s">
        <v>41</v>
      </c>
      <c r="V61" s="76"/>
      <c r="X61" s="65" t="s">
        <v>269</v>
      </c>
      <c r="Y61" s="54">
        <v>8000.0</v>
      </c>
      <c r="Z61" s="29">
        <f t="shared" si="1"/>
        <v>6400</v>
      </c>
    </row>
    <row r="62" ht="43.5" customHeight="1">
      <c r="A62" s="30"/>
      <c r="B62" s="73"/>
      <c r="C62" s="62" t="s">
        <v>270</v>
      </c>
      <c r="D62" s="63">
        <v>3154.0</v>
      </c>
      <c r="E62" s="64" t="s">
        <v>271</v>
      </c>
      <c r="F62" s="63">
        <v>254.0</v>
      </c>
      <c r="G62" s="63" t="s">
        <v>239</v>
      </c>
      <c r="H62" s="32">
        <v>8.8096684656E12</v>
      </c>
      <c r="I62" s="32">
        <v>1.88096684656E12</v>
      </c>
      <c r="J62" s="63" t="s">
        <v>35</v>
      </c>
      <c r="K62" s="63">
        <v>54.0</v>
      </c>
      <c r="L62" s="74" t="s">
        <v>272</v>
      </c>
      <c r="M62" s="74" t="s">
        <v>272</v>
      </c>
      <c r="N62" s="74" t="s">
        <v>38</v>
      </c>
      <c r="O62" s="74" t="s">
        <v>75</v>
      </c>
      <c r="P62" s="55">
        <v>20.0</v>
      </c>
      <c r="Q62" s="75">
        <v>25.0</v>
      </c>
      <c r="R62" s="55" t="s">
        <v>40</v>
      </c>
      <c r="S62" s="47">
        <v>11.0</v>
      </c>
      <c r="T62" s="55">
        <v>8.4</v>
      </c>
      <c r="U62" s="47" t="s">
        <v>41</v>
      </c>
      <c r="V62" s="76"/>
      <c r="X62" s="65" t="s">
        <v>273</v>
      </c>
      <c r="Y62" s="54">
        <v>8000.0</v>
      </c>
      <c r="Z62" s="29">
        <f t="shared" si="1"/>
        <v>6400</v>
      </c>
    </row>
    <row r="63" ht="43.5" customHeight="1">
      <c r="A63" s="30"/>
      <c r="B63" s="73"/>
      <c r="C63" s="62" t="s">
        <v>274</v>
      </c>
      <c r="D63" s="63">
        <v>3623.0</v>
      </c>
      <c r="E63" s="64" t="s">
        <v>275</v>
      </c>
      <c r="F63" s="63">
        <v>541.0</v>
      </c>
      <c r="G63" s="63" t="s">
        <v>239</v>
      </c>
      <c r="H63" s="32">
        <v>8.809668465617E12</v>
      </c>
      <c r="I63" s="32">
        <v>1.880966846561E12</v>
      </c>
      <c r="J63" s="63" t="s">
        <v>35</v>
      </c>
      <c r="K63" s="63">
        <v>84.0</v>
      </c>
      <c r="L63" s="74" t="s">
        <v>276</v>
      </c>
      <c r="M63" s="74" t="s">
        <v>276</v>
      </c>
      <c r="N63" s="74" t="s">
        <v>38</v>
      </c>
      <c r="O63" s="74" t="s">
        <v>75</v>
      </c>
      <c r="P63" s="55">
        <v>20.0</v>
      </c>
      <c r="Q63" s="75">
        <v>25.0</v>
      </c>
      <c r="R63" s="55" t="s">
        <v>40</v>
      </c>
      <c r="S63" s="47">
        <v>16.0</v>
      </c>
      <c r="T63" s="55">
        <v>6.0</v>
      </c>
      <c r="U63" s="47" t="s">
        <v>41</v>
      </c>
      <c r="V63" s="76"/>
      <c r="X63" s="65" t="s">
        <v>277</v>
      </c>
      <c r="Y63" s="54">
        <v>8000.0</v>
      </c>
      <c r="Z63" s="29">
        <f t="shared" si="1"/>
        <v>6400</v>
      </c>
    </row>
    <row r="64" ht="43.5" customHeight="1">
      <c r="A64" s="30"/>
      <c r="B64" s="73"/>
      <c r="C64" s="62" t="s">
        <v>278</v>
      </c>
      <c r="D64" s="63">
        <v>3622.0</v>
      </c>
      <c r="E64" s="64" t="s">
        <v>279</v>
      </c>
      <c r="F64" s="63">
        <v>556.0</v>
      </c>
      <c r="G64" s="63" t="s">
        <v>239</v>
      </c>
      <c r="H64" s="32">
        <v>8.809668465624E12</v>
      </c>
      <c r="I64" s="32">
        <v>1.880966846562E12</v>
      </c>
      <c r="J64" s="63" t="s">
        <v>35</v>
      </c>
      <c r="K64" s="63">
        <v>96.0</v>
      </c>
      <c r="L64" s="74" t="s">
        <v>280</v>
      </c>
      <c r="M64" s="74" t="s">
        <v>280</v>
      </c>
      <c r="N64" s="74" t="s">
        <v>38</v>
      </c>
      <c r="O64" s="74" t="s">
        <v>39</v>
      </c>
      <c r="P64" s="55">
        <v>20.0</v>
      </c>
      <c r="Q64" s="75">
        <v>25.0</v>
      </c>
      <c r="R64" s="55" t="s">
        <v>40</v>
      </c>
      <c r="S64" s="47">
        <v>21.5</v>
      </c>
      <c r="T64" s="55">
        <v>10.0</v>
      </c>
      <c r="U64" s="47" t="s">
        <v>41</v>
      </c>
      <c r="V64" s="76"/>
      <c r="X64" s="65" t="s">
        <v>281</v>
      </c>
      <c r="Y64" s="54">
        <v>8000.0</v>
      </c>
      <c r="Z64" s="29">
        <f t="shared" si="1"/>
        <v>6400</v>
      </c>
    </row>
    <row r="65" ht="43.5" customHeight="1">
      <c r="A65" s="30"/>
      <c r="B65" s="73"/>
      <c r="C65" s="62" t="s">
        <v>282</v>
      </c>
      <c r="D65" s="63"/>
      <c r="E65" s="64" t="s">
        <v>283</v>
      </c>
      <c r="F65" s="63"/>
      <c r="G65" s="63" t="s">
        <v>239</v>
      </c>
      <c r="H65" s="32">
        <v>8.809668465631E12</v>
      </c>
      <c r="I65" s="32">
        <v>1.880966846563E12</v>
      </c>
      <c r="J65" s="63" t="s">
        <v>35</v>
      </c>
      <c r="K65" s="63">
        <v>120.0</v>
      </c>
      <c r="L65" s="74" t="s">
        <v>284</v>
      </c>
      <c r="M65" s="74" t="s">
        <v>284</v>
      </c>
      <c r="N65" s="74" t="s">
        <v>38</v>
      </c>
      <c r="O65" s="74" t="s">
        <v>39</v>
      </c>
      <c r="P65" s="55">
        <v>20.0</v>
      </c>
      <c r="Q65" s="75">
        <v>25.0</v>
      </c>
      <c r="R65" s="55" t="s">
        <v>40</v>
      </c>
      <c r="S65" s="77">
        <v>17.49</v>
      </c>
      <c r="T65" s="78">
        <v>19.99</v>
      </c>
      <c r="U65" s="79" t="s">
        <v>41</v>
      </c>
      <c r="V65" s="76"/>
      <c r="X65" s="65" t="s">
        <v>285</v>
      </c>
      <c r="Y65" s="54">
        <v>8000.0</v>
      </c>
      <c r="Z65" s="29">
        <f t="shared" si="1"/>
        <v>6400</v>
      </c>
    </row>
    <row r="66" ht="43.5" customHeight="1">
      <c r="A66" s="30"/>
      <c r="B66" s="18"/>
      <c r="C66" s="19" t="s">
        <v>286</v>
      </c>
      <c r="D66" s="55">
        <v>3145.0</v>
      </c>
      <c r="E66" s="61" t="s">
        <v>287</v>
      </c>
      <c r="F66" s="55"/>
      <c r="G66" s="55" t="s">
        <v>239</v>
      </c>
      <c r="H66" s="32">
        <v>8.809668465648E12</v>
      </c>
      <c r="I66" s="32">
        <v>1.880966846564E12</v>
      </c>
      <c r="J66" s="55" t="s">
        <v>35</v>
      </c>
      <c r="K66" s="55">
        <v>145.0</v>
      </c>
      <c r="L66" s="35" t="s">
        <v>288</v>
      </c>
      <c r="M66" s="35" t="s">
        <v>288</v>
      </c>
      <c r="N66" s="48" t="s">
        <v>38</v>
      </c>
      <c r="O66" s="48" t="s">
        <v>39</v>
      </c>
      <c r="P66" s="55">
        <v>20.0</v>
      </c>
      <c r="Q66" s="33">
        <v>25.0</v>
      </c>
      <c r="R66" s="55" t="s">
        <v>40</v>
      </c>
      <c r="S66" s="26">
        <v>18.0</v>
      </c>
      <c r="T66" s="55">
        <v>20.0</v>
      </c>
      <c r="U66" s="26" t="s">
        <v>41</v>
      </c>
      <c r="V66" s="76"/>
      <c r="X66" s="28" t="s">
        <v>289</v>
      </c>
      <c r="Y66" s="54">
        <v>8000.0</v>
      </c>
      <c r="Z66" s="29">
        <f t="shared" si="1"/>
        <v>6400</v>
      </c>
    </row>
    <row r="67" ht="43.5" customHeight="1">
      <c r="A67" s="30"/>
      <c r="B67" s="36"/>
      <c r="C67" s="37" t="s">
        <v>290</v>
      </c>
      <c r="D67" s="58">
        <v>3216.0</v>
      </c>
      <c r="E67" s="80" t="s">
        <v>291</v>
      </c>
      <c r="F67" s="58"/>
      <c r="G67" s="58" t="s">
        <v>239</v>
      </c>
      <c r="H67" s="41">
        <v>8.809668465655E12</v>
      </c>
      <c r="I67" s="41">
        <v>1.880966846565E12</v>
      </c>
      <c r="J67" s="38" t="s">
        <v>35</v>
      </c>
      <c r="K67" s="38">
        <v>216.0</v>
      </c>
      <c r="L67" s="42" t="s">
        <v>292</v>
      </c>
      <c r="M67" s="42" t="s">
        <v>292</v>
      </c>
      <c r="N67" s="81" t="s">
        <v>38</v>
      </c>
      <c r="O67" s="81" t="s">
        <v>39</v>
      </c>
      <c r="P67" s="58">
        <v>20.0</v>
      </c>
      <c r="Q67" s="43">
        <v>25.0</v>
      </c>
      <c r="R67" s="58" t="s">
        <v>40</v>
      </c>
      <c r="S67" s="38">
        <v>13.0</v>
      </c>
      <c r="T67" s="58">
        <v>14.5</v>
      </c>
      <c r="U67" s="38" t="s">
        <v>41</v>
      </c>
      <c r="V67" s="82"/>
      <c r="X67" s="28" t="s">
        <v>293</v>
      </c>
      <c r="Y67" s="54">
        <v>8000.0</v>
      </c>
      <c r="Z67" s="29">
        <f t="shared" si="1"/>
        <v>6400</v>
      </c>
    </row>
    <row r="68" ht="43.5" customHeight="1">
      <c r="A68" s="30"/>
      <c r="B68" s="18"/>
      <c r="C68" s="19" t="s">
        <v>294</v>
      </c>
      <c r="D68" s="26"/>
      <c r="E68" s="61" t="s">
        <v>295</v>
      </c>
      <c r="F68" s="26"/>
      <c r="G68" s="61" t="s">
        <v>239</v>
      </c>
      <c r="H68" s="22">
        <v>8.809668465662E12</v>
      </c>
      <c r="I68" s="23">
        <v>1.880966846566E12</v>
      </c>
      <c r="J68" s="26" t="s">
        <v>35</v>
      </c>
      <c r="K68" s="31">
        <v>5.0</v>
      </c>
      <c r="L68" s="83" t="s">
        <v>240</v>
      </c>
      <c r="M68" s="83" t="s">
        <v>240</v>
      </c>
      <c r="N68" s="48" t="s">
        <v>74</v>
      </c>
      <c r="O68" s="48" t="s">
        <v>39</v>
      </c>
      <c r="P68" s="61">
        <v>100.0</v>
      </c>
      <c r="Q68" s="33">
        <v>10.0</v>
      </c>
      <c r="R68" s="55" t="s">
        <v>40</v>
      </c>
      <c r="S68" s="26">
        <v>23.5</v>
      </c>
      <c r="T68" s="55">
        <v>10.0</v>
      </c>
      <c r="U68" s="26" t="s">
        <v>41</v>
      </c>
      <c r="V68" s="34"/>
      <c r="X68" s="28" t="s">
        <v>296</v>
      </c>
      <c r="Y68" s="54">
        <v>29000.0</v>
      </c>
      <c r="Z68" s="29">
        <f t="shared" si="1"/>
        <v>23200</v>
      </c>
    </row>
    <row r="69" ht="43.5" customHeight="1">
      <c r="A69" s="30"/>
      <c r="B69" s="18"/>
      <c r="C69" s="19" t="s">
        <v>297</v>
      </c>
      <c r="D69" s="26">
        <v>3627.0</v>
      </c>
      <c r="E69" s="61" t="s">
        <v>298</v>
      </c>
      <c r="F69" s="26">
        <v>642.0</v>
      </c>
      <c r="G69" s="61" t="s">
        <v>239</v>
      </c>
      <c r="H69" s="22">
        <v>8.809668465679E12</v>
      </c>
      <c r="I69" s="32">
        <v>1.880966846567E12</v>
      </c>
      <c r="J69" s="55" t="s">
        <v>35</v>
      </c>
      <c r="K69" s="31">
        <v>8.0</v>
      </c>
      <c r="L69" s="83" t="s">
        <v>244</v>
      </c>
      <c r="M69" s="83" t="s">
        <v>244</v>
      </c>
      <c r="N69" s="35" t="s">
        <v>74</v>
      </c>
      <c r="O69" s="35" t="s">
        <v>39</v>
      </c>
      <c r="P69" s="61">
        <v>100.0</v>
      </c>
      <c r="Q69" s="33">
        <v>10.0</v>
      </c>
      <c r="R69" s="26" t="s">
        <v>40</v>
      </c>
      <c r="S69" s="26">
        <v>15.0</v>
      </c>
      <c r="T69" s="26">
        <v>9.0</v>
      </c>
      <c r="U69" s="26" t="s">
        <v>41</v>
      </c>
      <c r="V69" s="34"/>
      <c r="X69" s="28" t="s">
        <v>299</v>
      </c>
      <c r="Y69" s="54">
        <v>29000.0</v>
      </c>
      <c r="Z69" s="29">
        <f t="shared" si="1"/>
        <v>23200</v>
      </c>
    </row>
    <row r="70" ht="43.5" customHeight="1">
      <c r="A70" s="30"/>
      <c r="B70" s="18"/>
      <c r="C70" s="19" t="s">
        <v>300</v>
      </c>
      <c r="D70" s="26">
        <v>3624.0</v>
      </c>
      <c r="E70" s="61" t="s">
        <v>301</v>
      </c>
      <c r="F70" s="26">
        <v>619.0</v>
      </c>
      <c r="G70" s="61" t="s">
        <v>239</v>
      </c>
      <c r="H70" s="22">
        <v>8.809668465686E12</v>
      </c>
      <c r="I70" s="32">
        <v>1.880966846568E12</v>
      </c>
      <c r="J70" s="55" t="s">
        <v>35</v>
      </c>
      <c r="K70" s="31">
        <v>9.0</v>
      </c>
      <c r="L70" s="83" t="s">
        <v>248</v>
      </c>
      <c r="M70" s="83" t="s">
        <v>248</v>
      </c>
      <c r="N70" s="35" t="s">
        <v>74</v>
      </c>
      <c r="O70" s="35" t="s">
        <v>39</v>
      </c>
      <c r="P70" s="61">
        <v>100.0</v>
      </c>
      <c r="Q70" s="83">
        <v>10.0</v>
      </c>
      <c r="R70" s="26" t="s">
        <v>40</v>
      </c>
      <c r="S70" s="55">
        <v>22.5</v>
      </c>
      <c r="T70" s="26">
        <v>30.0</v>
      </c>
      <c r="U70" s="26" t="s">
        <v>41</v>
      </c>
      <c r="V70" s="34"/>
      <c r="X70" s="28" t="s">
        <v>302</v>
      </c>
      <c r="Y70" s="54">
        <v>29000.0</v>
      </c>
      <c r="Z70" s="29">
        <f t="shared" si="1"/>
        <v>23200</v>
      </c>
    </row>
    <row r="71" ht="43.5" customHeight="1">
      <c r="A71" s="30"/>
      <c r="B71" s="18"/>
      <c r="C71" s="19" t="s">
        <v>303</v>
      </c>
      <c r="D71" s="26"/>
      <c r="E71" s="61" t="s">
        <v>304</v>
      </c>
      <c r="F71" s="26"/>
      <c r="G71" s="55" t="s">
        <v>239</v>
      </c>
      <c r="H71" s="22">
        <v>8.809668465693E12</v>
      </c>
      <c r="I71" s="32">
        <v>1.880966846569E12</v>
      </c>
      <c r="J71" s="55" t="s">
        <v>35</v>
      </c>
      <c r="K71" s="26">
        <v>12.0</v>
      </c>
      <c r="L71" s="48" t="s">
        <v>252</v>
      </c>
      <c r="M71" s="48" t="s">
        <v>252</v>
      </c>
      <c r="N71" s="35" t="s">
        <v>74</v>
      </c>
      <c r="O71" s="48" t="s">
        <v>39</v>
      </c>
      <c r="P71" s="55">
        <v>100.0</v>
      </c>
      <c r="Q71" s="83">
        <v>10.0</v>
      </c>
      <c r="R71" s="26" t="s">
        <v>40</v>
      </c>
      <c r="S71" s="55">
        <v>15.748</v>
      </c>
      <c r="T71" s="26">
        <v>5.84</v>
      </c>
      <c r="U71" s="55" t="s">
        <v>41</v>
      </c>
      <c r="V71" s="34"/>
      <c r="X71" s="28" t="s">
        <v>305</v>
      </c>
      <c r="Y71" s="54">
        <v>29000.0</v>
      </c>
      <c r="Z71" s="29">
        <f t="shared" si="1"/>
        <v>23200</v>
      </c>
    </row>
    <row r="72" ht="43.5" customHeight="1">
      <c r="A72" s="30"/>
      <c r="B72" s="18"/>
      <c r="C72" s="19" t="s">
        <v>306</v>
      </c>
      <c r="D72" s="63"/>
      <c r="E72" s="64" t="s">
        <v>307</v>
      </c>
      <c r="F72" s="63">
        <v>220.0</v>
      </c>
      <c r="G72" s="63" t="s">
        <v>239</v>
      </c>
      <c r="H72" s="84">
        <v>8.809668465709E12</v>
      </c>
      <c r="I72" s="32">
        <v>1.88096684657E12</v>
      </c>
      <c r="J72" s="55" t="s">
        <v>35</v>
      </c>
      <c r="K72" s="47">
        <v>20.0</v>
      </c>
      <c r="L72" s="48" t="s">
        <v>256</v>
      </c>
      <c r="M72" s="48" t="s">
        <v>256</v>
      </c>
      <c r="N72" s="85" t="s">
        <v>74</v>
      </c>
      <c r="O72" s="48" t="s">
        <v>39</v>
      </c>
      <c r="P72" s="47">
        <v>100.0</v>
      </c>
      <c r="Q72" s="83">
        <v>10.0</v>
      </c>
      <c r="R72" s="47" t="s">
        <v>40</v>
      </c>
      <c r="S72" s="55">
        <v>8.0</v>
      </c>
      <c r="T72" s="47">
        <v>18.5</v>
      </c>
      <c r="U72" s="55" t="s">
        <v>41</v>
      </c>
      <c r="V72" s="34"/>
      <c r="X72" s="65" t="s">
        <v>308</v>
      </c>
      <c r="Y72" s="54">
        <v>29000.0</v>
      </c>
      <c r="Z72" s="29">
        <f t="shared" si="1"/>
        <v>23200</v>
      </c>
    </row>
    <row r="73" ht="43.5" customHeight="1">
      <c r="A73" s="30"/>
      <c r="B73" s="18"/>
      <c r="C73" s="19" t="s">
        <v>309</v>
      </c>
      <c r="D73" s="63"/>
      <c r="E73" s="61" t="s">
        <v>310</v>
      </c>
      <c r="F73" s="63"/>
      <c r="G73" s="55" t="s">
        <v>239</v>
      </c>
      <c r="H73" s="22">
        <v>8.809668465716E12</v>
      </c>
      <c r="I73" s="32">
        <v>1.880966846571E12</v>
      </c>
      <c r="J73" s="55" t="s">
        <v>35</v>
      </c>
      <c r="K73" s="26">
        <v>24.0</v>
      </c>
      <c r="L73" s="48" t="s">
        <v>260</v>
      </c>
      <c r="M73" s="48" t="s">
        <v>260</v>
      </c>
      <c r="N73" s="35" t="s">
        <v>38</v>
      </c>
      <c r="O73" s="48" t="s">
        <v>75</v>
      </c>
      <c r="P73" s="26">
        <v>100.0</v>
      </c>
      <c r="Q73" s="83">
        <v>10.0</v>
      </c>
      <c r="R73" s="26" t="s">
        <v>40</v>
      </c>
      <c r="S73" s="55">
        <v>13.5</v>
      </c>
      <c r="T73" s="26">
        <v>16.0</v>
      </c>
      <c r="U73" s="55" t="s">
        <v>41</v>
      </c>
      <c r="V73" s="34"/>
      <c r="X73" s="28" t="s">
        <v>311</v>
      </c>
      <c r="Y73" s="54">
        <v>29000.0</v>
      </c>
      <c r="Z73" s="29">
        <f t="shared" si="1"/>
        <v>23200</v>
      </c>
    </row>
    <row r="74" ht="43.5" customHeight="1">
      <c r="A74" s="30"/>
      <c r="B74" s="18"/>
      <c r="C74" s="19" t="s">
        <v>312</v>
      </c>
      <c r="D74" s="63"/>
      <c r="E74" s="61" t="s">
        <v>313</v>
      </c>
      <c r="F74" s="63">
        <v>231.0</v>
      </c>
      <c r="G74" s="55" t="s">
        <v>239</v>
      </c>
      <c r="H74" s="22">
        <v>8.809668465723E12</v>
      </c>
      <c r="I74" s="32">
        <v>1.880966846572E12</v>
      </c>
      <c r="J74" s="26" t="s">
        <v>35</v>
      </c>
      <c r="K74" s="26">
        <v>33.0</v>
      </c>
      <c r="L74" s="48" t="s">
        <v>264</v>
      </c>
      <c r="M74" s="48" t="s">
        <v>264</v>
      </c>
      <c r="N74" s="35" t="s">
        <v>74</v>
      </c>
      <c r="O74" s="48" t="s">
        <v>314</v>
      </c>
      <c r="P74" s="26">
        <v>100.0</v>
      </c>
      <c r="Q74" s="83">
        <v>10.0</v>
      </c>
      <c r="R74" s="26" t="s">
        <v>40</v>
      </c>
      <c r="S74" s="78">
        <v>15.0</v>
      </c>
      <c r="T74" s="77">
        <v>8.5</v>
      </c>
      <c r="U74" s="55" t="s">
        <v>41</v>
      </c>
      <c r="V74" s="34"/>
      <c r="X74" s="28" t="s">
        <v>315</v>
      </c>
      <c r="Y74" s="54">
        <v>29000.0</v>
      </c>
      <c r="Z74" s="29">
        <f t="shared" si="1"/>
        <v>23200</v>
      </c>
    </row>
    <row r="75" ht="43.5" customHeight="1">
      <c r="A75" s="30"/>
      <c r="B75" s="18"/>
      <c r="C75" s="19" t="s">
        <v>316</v>
      </c>
      <c r="D75" s="63">
        <v>3621.0</v>
      </c>
      <c r="E75" s="61" t="s">
        <v>317</v>
      </c>
      <c r="F75" s="63">
        <v>636.0</v>
      </c>
      <c r="G75" s="55" t="s">
        <v>239</v>
      </c>
      <c r="H75" s="22">
        <v>8.80966846573E12</v>
      </c>
      <c r="I75" s="32">
        <v>1.880966846573E12</v>
      </c>
      <c r="J75" s="26" t="s">
        <v>35</v>
      </c>
      <c r="K75" s="26">
        <v>36.0</v>
      </c>
      <c r="L75" s="48" t="s">
        <v>268</v>
      </c>
      <c r="M75" s="48" t="s">
        <v>268</v>
      </c>
      <c r="N75" s="35" t="s">
        <v>74</v>
      </c>
      <c r="O75" s="35" t="s">
        <v>75</v>
      </c>
      <c r="P75" s="26">
        <v>100.0</v>
      </c>
      <c r="Q75" s="33">
        <v>10.0</v>
      </c>
      <c r="R75" s="26" t="s">
        <v>40</v>
      </c>
      <c r="S75" s="26">
        <v>22.5</v>
      </c>
      <c r="T75" s="26">
        <v>9.0</v>
      </c>
      <c r="U75" s="26" t="s">
        <v>41</v>
      </c>
      <c r="V75" s="34"/>
      <c r="X75" s="28" t="s">
        <v>318</v>
      </c>
      <c r="Y75" s="54">
        <v>29000.0</v>
      </c>
      <c r="Z75" s="29">
        <f t="shared" si="1"/>
        <v>23200</v>
      </c>
    </row>
    <row r="76" ht="43.5" customHeight="1">
      <c r="A76" s="30"/>
      <c r="B76" s="18"/>
      <c r="C76" s="19" t="s">
        <v>319</v>
      </c>
      <c r="D76" s="63">
        <v>3154.0</v>
      </c>
      <c r="E76" s="61" t="s">
        <v>320</v>
      </c>
      <c r="F76" s="63">
        <v>254.0</v>
      </c>
      <c r="G76" s="55" t="s">
        <v>239</v>
      </c>
      <c r="H76" s="22">
        <v>8.809668465747E12</v>
      </c>
      <c r="I76" s="32">
        <v>1.880966846574E12</v>
      </c>
      <c r="J76" s="26" t="s">
        <v>35</v>
      </c>
      <c r="K76" s="26">
        <v>54.0</v>
      </c>
      <c r="L76" s="48" t="s">
        <v>272</v>
      </c>
      <c r="M76" s="48" t="s">
        <v>272</v>
      </c>
      <c r="N76" s="35" t="s">
        <v>74</v>
      </c>
      <c r="O76" s="35" t="s">
        <v>75</v>
      </c>
      <c r="P76" s="26">
        <v>100.0</v>
      </c>
      <c r="Q76" s="33">
        <v>10.0</v>
      </c>
      <c r="R76" s="26" t="s">
        <v>40</v>
      </c>
      <c r="S76" s="26">
        <v>11.0</v>
      </c>
      <c r="T76" s="26">
        <v>8.4</v>
      </c>
      <c r="U76" s="26" t="s">
        <v>41</v>
      </c>
      <c r="V76" s="34"/>
      <c r="X76" s="28" t="s">
        <v>321</v>
      </c>
      <c r="Y76" s="54">
        <v>29000.0</v>
      </c>
      <c r="Z76" s="29">
        <f t="shared" si="1"/>
        <v>23200</v>
      </c>
    </row>
    <row r="77" ht="43.5" customHeight="1">
      <c r="A77" s="30"/>
      <c r="B77" s="18"/>
      <c r="C77" s="19" t="s">
        <v>322</v>
      </c>
      <c r="D77" s="63">
        <v>3623.0</v>
      </c>
      <c r="E77" s="61" t="s">
        <v>323</v>
      </c>
      <c r="F77" s="63">
        <v>541.0</v>
      </c>
      <c r="G77" s="61" t="s">
        <v>239</v>
      </c>
      <c r="H77" s="22">
        <v>8.809668465754E12</v>
      </c>
      <c r="I77" s="32">
        <v>1.880966846575E12</v>
      </c>
      <c r="J77" s="26" t="s">
        <v>35</v>
      </c>
      <c r="K77" s="31">
        <v>84.0</v>
      </c>
      <c r="L77" s="83" t="s">
        <v>276</v>
      </c>
      <c r="M77" s="83" t="s">
        <v>276</v>
      </c>
      <c r="N77" s="35" t="s">
        <v>74</v>
      </c>
      <c r="O77" s="35" t="s">
        <v>75</v>
      </c>
      <c r="P77" s="31">
        <v>100.0</v>
      </c>
      <c r="Q77" s="33">
        <v>10.0</v>
      </c>
      <c r="R77" s="26" t="s">
        <v>40</v>
      </c>
      <c r="S77" s="26">
        <v>16.0</v>
      </c>
      <c r="T77" s="26">
        <v>6.0</v>
      </c>
      <c r="U77" s="26" t="s">
        <v>41</v>
      </c>
      <c r="V77" s="34"/>
      <c r="X77" s="28" t="s">
        <v>324</v>
      </c>
      <c r="Y77" s="54">
        <v>29000.0</v>
      </c>
      <c r="Z77" s="29">
        <f t="shared" si="1"/>
        <v>23200</v>
      </c>
    </row>
    <row r="78" ht="43.5" customHeight="1">
      <c r="A78" s="30"/>
      <c r="B78" s="18"/>
      <c r="C78" s="19" t="s">
        <v>325</v>
      </c>
      <c r="D78" s="63">
        <v>3622.0</v>
      </c>
      <c r="E78" s="61" t="s">
        <v>326</v>
      </c>
      <c r="F78" s="63">
        <v>556.0</v>
      </c>
      <c r="G78" s="61" t="s">
        <v>239</v>
      </c>
      <c r="H78" s="22">
        <v>8.809668465761E12</v>
      </c>
      <c r="I78" s="32">
        <v>1.880966846576E12</v>
      </c>
      <c r="J78" s="26" t="s">
        <v>35</v>
      </c>
      <c r="K78" s="31">
        <v>96.0</v>
      </c>
      <c r="L78" s="33" t="s">
        <v>280</v>
      </c>
      <c r="M78" s="33" t="s">
        <v>280</v>
      </c>
      <c r="N78" s="35" t="s">
        <v>74</v>
      </c>
      <c r="O78" s="35" t="s">
        <v>75</v>
      </c>
      <c r="P78" s="31">
        <v>100.0</v>
      </c>
      <c r="Q78" s="33">
        <v>10.0</v>
      </c>
      <c r="R78" s="26" t="s">
        <v>40</v>
      </c>
      <c r="S78" s="26">
        <v>21.5</v>
      </c>
      <c r="T78" s="26">
        <v>10.0</v>
      </c>
      <c r="U78" s="26" t="s">
        <v>41</v>
      </c>
      <c r="V78" s="34"/>
      <c r="X78" s="28" t="s">
        <v>327</v>
      </c>
      <c r="Y78" s="54">
        <v>29000.0</v>
      </c>
      <c r="Z78" s="29">
        <f t="shared" si="1"/>
        <v>23200</v>
      </c>
    </row>
    <row r="79" ht="43.5" customHeight="1">
      <c r="A79" s="30"/>
      <c r="B79" s="18"/>
      <c r="C79" s="19" t="s">
        <v>328</v>
      </c>
      <c r="D79" s="63"/>
      <c r="E79" s="61" t="s">
        <v>329</v>
      </c>
      <c r="F79" s="63"/>
      <c r="G79" s="61" t="s">
        <v>239</v>
      </c>
      <c r="H79" s="22">
        <v>8.809668465778E12</v>
      </c>
      <c r="I79" s="32">
        <v>1.880966846577E12</v>
      </c>
      <c r="J79" s="26" t="s">
        <v>35</v>
      </c>
      <c r="K79" s="31">
        <v>120.0</v>
      </c>
      <c r="L79" s="33" t="s">
        <v>284</v>
      </c>
      <c r="M79" s="33" t="s">
        <v>284</v>
      </c>
      <c r="N79" s="35" t="s">
        <v>74</v>
      </c>
      <c r="O79" s="35" t="s">
        <v>75</v>
      </c>
      <c r="P79" s="31">
        <v>100.0</v>
      </c>
      <c r="Q79" s="33">
        <v>10.0</v>
      </c>
      <c r="R79" s="26" t="s">
        <v>40</v>
      </c>
      <c r="S79" s="26">
        <v>17.49</v>
      </c>
      <c r="T79" s="26">
        <v>19.99</v>
      </c>
      <c r="U79" s="26" t="s">
        <v>41</v>
      </c>
      <c r="V79" s="34"/>
      <c r="X79" s="28" t="s">
        <v>330</v>
      </c>
      <c r="Y79" s="54">
        <v>29000.0</v>
      </c>
      <c r="Z79" s="29">
        <f t="shared" si="1"/>
        <v>23200</v>
      </c>
    </row>
    <row r="80" ht="43.5" customHeight="1">
      <c r="A80" s="30"/>
      <c r="B80" s="18"/>
      <c r="C80" s="19" t="s">
        <v>331</v>
      </c>
      <c r="D80" s="55">
        <v>3145.0</v>
      </c>
      <c r="E80" s="61" t="s">
        <v>332</v>
      </c>
      <c r="F80" s="55"/>
      <c r="G80" s="26" t="s">
        <v>239</v>
      </c>
      <c r="H80" s="22">
        <v>8.809668465785E12</v>
      </c>
      <c r="I80" s="32">
        <v>1.880966846578E12</v>
      </c>
      <c r="J80" s="26" t="s">
        <v>35</v>
      </c>
      <c r="K80" s="26">
        <v>145.0</v>
      </c>
      <c r="L80" s="35" t="s">
        <v>288</v>
      </c>
      <c r="M80" s="35" t="s">
        <v>288</v>
      </c>
      <c r="N80" s="35" t="s">
        <v>74</v>
      </c>
      <c r="O80" s="35" t="s">
        <v>75</v>
      </c>
      <c r="P80" s="26">
        <v>100.0</v>
      </c>
      <c r="Q80" s="33">
        <v>10.0</v>
      </c>
      <c r="R80" s="26" t="s">
        <v>40</v>
      </c>
      <c r="S80" s="26">
        <v>18.0</v>
      </c>
      <c r="T80" s="26">
        <v>20.0</v>
      </c>
      <c r="U80" s="26" t="s">
        <v>41</v>
      </c>
      <c r="V80" s="34"/>
      <c r="X80" s="28" t="s">
        <v>333</v>
      </c>
      <c r="Y80" s="54">
        <v>29000.0</v>
      </c>
      <c r="Z80" s="29">
        <f t="shared" si="1"/>
        <v>23200</v>
      </c>
    </row>
    <row r="81" ht="43.5" customHeight="1">
      <c r="A81" s="66"/>
      <c r="B81" s="36"/>
      <c r="C81" s="37" t="s">
        <v>334</v>
      </c>
      <c r="D81" s="58">
        <v>3216.0</v>
      </c>
      <c r="E81" s="86" t="s">
        <v>335</v>
      </c>
      <c r="F81" s="58"/>
      <c r="G81" s="68" t="s">
        <v>239</v>
      </c>
      <c r="H81" s="40">
        <v>8.809668465792E12</v>
      </c>
      <c r="I81" s="41">
        <v>1.880966846579E12</v>
      </c>
      <c r="J81" s="68" t="s">
        <v>35</v>
      </c>
      <c r="K81" s="68">
        <v>216.0</v>
      </c>
      <c r="L81" s="69" t="s">
        <v>292</v>
      </c>
      <c r="M81" s="69" t="s">
        <v>292</v>
      </c>
      <c r="N81" s="69" t="s">
        <v>74</v>
      </c>
      <c r="O81" s="69" t="s">
        <v>75</v>
      </c>
      <c r="P81" s="68">
        <v>100.0</v>
      </c>
      <c r="Q81" s="70">
        <v>10.0</v>
      </c>
      <c r="R81" s="68" t="s">
        <v>40</v>
      </c>
      <c r="S81" s="26">
        <v>13.0</v>
      </c>
      <c r="T81" s="68">
        <v>14.5</v>
      </c>
      <c r="U81" s="26" t="s">
        <v>41</v>
      </c>
      <c r="V81" s="71"/>
      <c r="X81" s="28" t="s">
        <v>336</v>
      </c>
      <c r="Y81" s="54">
        <v>29000.0</v>
      </c>
      <c r="Z81" s="29">
        <f t="shared" si="1"/>
        <v>23200</v>
      </c>
    </row>
    <row r="82" ht="43.5" customHeight="1">
      <c r="A82" s="72" t="s">
        <v>337</v>
      </c>
      <c r="B82" s="36"/>
      <c r="C82" s="87" t="s">
        <v>338</v>
      </c>
      <c r="D82" s="26"/>
      <c r="E82" s="88" t="s">
        <v>339</v>
      </c>
      <c r="F82" s="26"/>
      <c r="G82" s="26" t="s">
        <v>340</v>
      </c>
      <c r="H82" s="45"/>
      <c r="I82" s="45"/>
      <c r="J82" s="26"/>
      <c r="K82" s="26"/>
      <c r="L82" s="89" t="s">
        <v>341</v>
      </c>
      <c r="M82" s="35"/>
      <c r="N82" s="74" t="s">
        <v>38</v>
      </c>
      <c r="O82" s="74" t="s">
        <v>39</v>
      </c>
      <c r="P82" s="55">
        <v>20.0</v>
      </c>
      <c r="Q82" s="75">
        <v>25.0</v>
      </c>
      <c r="R82" s="55" t="s">
        <v>40</v>
      </c>
      <c r="S82" s="90">
        <v>10.0</v>
      </c>
      <c r="T82" s="91">
        <v>10.0</v>
      </c>
      <c r="U82" s="52" t="s">
        <v>41</v>
      </c>
      <c r="V82" s="34"/>
      <c r="X82" s="92"/>
      <c r="Y82" s="93"/>
      <c r="Z82" s="93"/>
    </row>
    <row r="83" ht="43.5" customHeight="1">
      <c r="A83" s="30"/>
      <c r="B83" s="36"/>
      <c r="C83" s="87" t="s">
        <v>342</v>
      </c>
      <c r="D83" s="26"/>
      <c r="E83" s="88" t="s">
        <v>343</v>
      </c>
      <c r="F83" s="26"/>
      <c r="G83" s="26" t="s">
        <v>340</v>
      </c>
      <c r="H83" s="45"/>
      <c r="I83" s="45"/>
      <c r="J83" s="26"/>
      <c r="K83" s="26"/>
      <c r="L83" s="94" t="s">
        <v>341</v>
      </c>
      <c r="M83" s="35"/>
      <c r="N83" s="31" t="s">
        <v>344</v>
      </c>
      <c r="O83" s="26" t="s">
        <v>345</v>
      </c>
      <c r="P83" s="31">
        <v>50.0</v>
      </c>
      <c r="Q83" s="33">
        <v>10.0</v>
      </c>
      <c r="R83" s="63" t="s">
        <v>40</v>
      </c>
      <c r="S83" s="78">
        <v>10.0</v>
      </c>
      <c r="T83" s="77">
        <v>10.0</v>
      </c>
      <c r="U83" s="55" t="s">
        <v>41</v>
      </c>
      <c r="V83" s="34"/>
      <c r="X83" s="95"/>
      <c r="Y83" s="96"/>
      <c r="Z83" s="93"/>
    </row>
    <row r="84" ht="43.5" customHeight="1">
      <c r="A84" s="30"/>
      <c r="B84" s="18"/>
      <c r="C84" s="19" t="s">
        <v>346</v>
      </c>
      <c r="D84" s="26"/>
      <c r="E84" s="97" t="s">
        <v>347</v>
      </c>
      <c r="F84" s="26"/>
      <c r="G84" s="26" t="s">
        <v>340</v>
      </c>
      <c r="H84" s="45"/>
      <c r="I84" s="45"/>
      <c r="J84" s="26"/>
      <c r="K84" s="26"/>
      <c r="L84" s="94" t="s">
        <v>348</v>
      </c>
      <c r="M84" s="35"/>
      <c r="N84" s="74" t="s">
        <v>38</v>
      </c>
      <c r="O84" s="74" t="s">
        <v>39</v>
      </c>
      <c r="P84" s="55">
        <v>20.0</v>
      </c>
      <c r="Q84" s="75">
        <v>25.0</v>
      </c>
      <c r="R84" s="63" t="s">
        <v>40</v>
      </c>
      <c r="S84" s="78">
        <v>10.0</v>
      </c>
      <c r="T84" s="77">
        <v>10.0</v>
      </c>
      <c r="U84" s="55" t="s">
        <v>41</v>
      </c>
      <c r="V84" s="34"/>
      <c r="X84" s="98"/>
      <c r="Y84" s="93"/>
      <c r="Z84" s="93"/>
    </row>
    <row r="85" ht="43.5" customHeight="1">
      <c r="A85" s="66"/>
      <c r="B85" s="18"/>
      <c r="C85" s="37" t="s">
        <v>349</v>
      </c>
      <c r="D85" s="38"/>
      <c r="E85" s="97" t="s">
        <v>350</v>
      </c>
      <c r="F85" s="38"/>
      <c r="G85" s="38" t="s">
        <v>340</v>
      </c>
      <c r="H85" s="99"/>
      <c r="I85" s="99"/>
      <c r="J85" s="38"/>
      <c r="K85" s="38"/>
      <c r="L85" s="100" t="s">
        <v>348</v>
      </c>
      <c r="M85" s="42"/>
      <c r="N85" s="39" t="s">
        <v>344</v>
      </c>
      <c r="O85" s="38" t="s">
        <v>345</v>
      </c>
      <c r="P85" s="39">
        <v>50.0</v>
      </c>
      <c r="Q85" s="43">
        <v>10.0</v>
      </c>
      <c r="R85" s="58" t="s">
        <v>40</v>
      </c>
      <c r="S85" s="101">
        <v>10.0</v>
      </c>
      <c r="T85" s="102">
        <v>10.0</v>
      </c>
      <c r="U85" s="58" t="s">
        <v>41</v>
      </c>
      <c r="V85" s="44"/>
      <c r="X85" s="92"/>
      <c r="Y85" s="93"/>
      <c r="Z85" s="93"/>
    </row>
    <row r="86" ht="43.5" customHeight="1">
      <c r="A86" s="103" t="s">
        <v>351</v>
      </c>
      <c r="B86" s="18"/>
      <c r="C86" s="19" t="s">
        <v>352</v>
      </c>
      <c r="D86" s="26"/>
      <c r="E86" s="61" t="s">
        <v>353</v>
      </c>
      <c r="F86" s="26">
        <v>211.0</v>
      </c>
      <c r="G86" s="26" t="s">
        <v>351</v>
      </c>
      <c r="H86" s="22">
        <v>8.809668465808E12</v>
      </c>
      <c r="I86" s="23">
        <v>1.88096684658E12</v>
      </c>
      <c r="J86" s="26" t="s">
        <v>35</v>
      </c>
      <c r="K86" s="26">
        <v>1.0</v>
      </c>
      <c r="L86" s="35" t="s">
        <v>36</v>
      </c>
      <c r="M86" s="35" t="s">
        <v>37</v>
      </c>
      <c r="N86" s="35" t="s">
        <v>354</v>
      </c>
      <c r="O86" s="35" t="s">
        <v>355</v>
      </c>
      <c r="P86" s="26">
        <v>100.0</v>
      </c>
      <c r="Q86" s="33">
        <v>10.0</v>
      </c>
      <c r="R86" s="26" t="s">
        <v>356</v>
      </c>
      <c r="S86" s="26">
        <v>4.699</v>
      </c>
      <c r="T86" s="26">
        <v>5.4</v>
      </c>
      <c r="U86" s="26" t="s">
        <v>41</v>
      </c>
      <c r="V86" s="34"/>
      <c r="X86" s="98"/>
      <c r="Y86" s="93"/>
      <c r="Z86" s="93"/>
    </row>
    <row r="87" ht="43.5" customHeight="1">
      <c r="A87" s="30"/>
      <c r="B87" s="18"/>
      <c r="C87" s="19" t="s">
        <v>357</v>
      </c>
      <c r="D87" s="31">
        <v>3120.0</v>
      </c>
      <c r="E87" s="31" t="s">
        <v>358</v>
      </c>
      <c r="F87" s="31">
        <v>212.0</v>
      </c>
      <c r="G87" s="26" t="s">
        <v>351</v>
      </c>
      <c r="H87" s="45"/>
      <c r="I87" s="46"/>
      <c r="J87" s="26" t="s">
        <v>35</v>
      </c>
      <c r="K87" s="31">
        <v>2.0</v>
      </c>
      <c r="L87" s="33" t="s">
        <v>50</v>
      </c>
      <c r="M87" s="33" t="s">
        <v>51</v>
      </c>
      <c r="N87" s="35" t="s">
        <v>354</v>
      </c>
      <c r="O87" s="35" t="s">
        <v>355</v>
      </c>
      <c r="P87" s="26">
        <v>100.0</v>
      </c>
      <c r="Q87" s="33">
        <v>10.0</v>
      </c>
      <c r="R87" s="26" t="s">
        <v>356</v>
      </c>
      <c r="S87" s="26">
        <v>5.715</v>
      </c>
      <c r="T87" s="26">
        <v>5.41</v>
      </c>
      <c r="U87" s="26" t="s">
        <v>41</v>
      </c>
      <c r="V87" s="34"/>
      <c r="X87" s="98"/>
      <c r="Y87" s="93"/>
      <c r="Z87" s="93"/>
    </row>
    <row r="88" ht="43.5" customHeight="1">
      <c r="A88" s="30"/>
      <c r="B88" s="18"/>
      <c r="C88" s="19" t="s">
        <v>359</v>
      </c>
      <c r="D88" s="26">
        <v>3114.0</v>
      </c>
      <c r="E88" s="31" t="s">
        <v>360</v>
      </c>
      <c r="F88" s="26">
        <v>224.0</v>
      </c>
      <c r="G88" s="26" t="s">
        <v>351</v>
      </c>
      <c r="H88" s="22">
        <v>8.809668465815E12</v>
      </c>
      <c r="I88" s="32">
        <v>1.880966846581E12</v>
      </c>
      <c r="J88" s="26" t="s">
        <v>35</v>
      </c>
      <c r="K88" s="26">
        <v>8.0</v>
      </c>
      <c r="L88" s="35" t="s">
        <v>361</v>
      </c>
      <c r="M88" s="35" t="s">
        <v>110</v>
      </c>
      <c r="N88" s="35" t="s">
        <v>354</v>
      </c>
      <c r="O88" s="35" t="s">
        <v>355</v>
      </c>
      <c r="P88" s="26">
        <v>100.0</v>
      </c>
      <c r="Q88" s="33">
        <v>10.0</v>
      </c>
      <c r="R88" s="26" t="s">
        <v>356</v>
      </c>
      <c r="S88" s="26">
        <v>13.792</v>
      </c>
      <c r="T88" s="26">
        <v>5.086</v>
      </c>
      <c r="U88" s="26" t="s">
        <v>41</v>
      </c>
      <c r="V88" s="34"/>
      <c r="X88" s="98"/>
      <c r="Y88" s="93"/>
      <c r="Z88" s="93"/>
    </row>
    <row r="89" ht="43.5" customHeight="1">
      <c r="A89" s="30"/>
      <c r="B89" s="18"/>
      <c r="C89" s="19" t="s">
        <v>362</v>
      </c>
      <c r="D89" s="26">
        <v>3510.0</v>
      </c>
      <c r="E89" s="31" t="s">
        <v>363</v>
      </c>
      <c r="F89" s="26"/>
      <c r="G89" s="26" t="s">
        <v>351</v>
      </c>
      <c r="H89" s="22">
        <v>8.809668465822E12</v>
      </c>
      <c r="I89" s="32">
        <v>1.880966846582E12</v>
      </c>
      <c r="J89" s="26" t="s">
        <v>35</v>
      </c>
      <c r="K89" s="26">
        <v>10.0</v>
      </c>
      <c r="L89" s="35" t="s">
        <v>114</v>
      </c>
      <c r="M89" s="35" t="s">
        <v>160</v>
      </c>
      <c r="N89" s="35" t="s">
        <v>354</v>
      </c>
      <c r="O89" s="35" t="s">
        <v>355</v>
      </c>
      <c r="P89" s="26">
        <v>100.0</v>
      </c>
      <c r="Q89" s="33">
        <v>10.0</v>
      </c>
      <c r="R89" s="26" t="s">
        <v>356</v>
      </c>
      <c r="S89" s="26">
        <v>20.5</v>
      </c>
      <c r="T89" s="26">
        <v>11.5</v>
      </c>
      <c r="U89" s="26" t="s">
        <v>41</v>
      </c>
      <c r="V89" s="34"/>
      <c r="X89" s="104"/>
      <c r="Y89" s="93"/>
      <c r="Z89" s="93"/>
    </row>
    <row r="90" ht="43.5" customHeight="1">
      <c r="A90" s="30"/>
      <c r="B90" s="18"/>
      <c r="C90" s="19" t="s">
        <v>364</v>
      </c>
      <c r="D90" s="26">
        <v>3107.0</v>
      </c>
      <c r="E90" s="31" t="s">
        <v>365</v>
      </c>
      <c r="F90" s="26">
        <v>228.0</v>
      </c>
      <c r="G90" s="26" t="s">
        <v>351</v>
      </c>
      <c r="H90" s="22">
        <v>8.809668465846E12</v>
      </c>
      <c r="I90" s="32">
        <v>1.880966846584E12</v>
      </c>
      <c r="J90" s="26" t="s">
        <v>35</v>
      </c>
      <c r="K90" s="26">
        <v>16.0</v>
      </c>
      <c r="L90" s="35" t="s">
        <v>129</v>
      </c>
      <c r="M90" s="35" t="s">
        <v>130</v>
      </c>
      <c r="N90" s="35" t="s">
        <v>354</v>
      </c>
      <c r="O90" s="35" t="s">
        <v>355</v>
      </c>
      <c r="P90" s="26">
        <v>100.0</v>
      </c>
      <c r="Q90" s="33">
        <v>10.0</v>
      </c>
      <c r="R90" s="26" t="s">
        <v>356</v>
      </c>
      <c r="S90" s="26">
        <v>13.792</v>
      </c>
      <c r="T90" s="26">
        <v>5.086</v>
      </c>
      <c r="U90" s="26" t="s">
        <v>41</v>
      </c>
      <c r="V90" s="34"/>
      <c r="X90" s="98"/>
      <c r="Y90" s="93"/>
      <c r="Z90" s="93"/>
    </row>
    <row r="91" ht="43.5" customHeight="1">
      <c r="A91" s="66"/>
      <c r="B91" s="36"/>
      <c r="C91" s="37" t="s">
        <v>366</v>
      </c>
      <c r="D91" s="38">
        <v>3105.0</v>
      </c>
      <c r="E91" s="39" t="s">
        <v>367</v>
      </c>
      <c r="F91" s="38">
        <v>237.0</v>
      </c>
      <c r="G91" s="38" t="s">
        <v>351</v>
      </c>
      <c r="H91" s="40">
        <v>8.80966846586E12</v>
      </c>
      <c r="I91" s="41">
        <v>1.880966846586E12</v>
      </c>
      <c r="J91" s="38" t="s">
        <v>35</v>
      </c>
      <c r="K91" s="38">
        <v>21.0</v>
      </c>
      <c r="L91" s="42" t="s">
        <v>142</v>
      </c>
      <c r="M91" s="42" t="s">
        <v>143</v>
      </c>
      <c r="N91" s="42" t="s">
        <v>354</v>
      </c>
      <c r="O91" s="42" t="s">
        <v>355</v>
      </c>
      <c r="P91" s="38">
        <v>100.0</v>
      </c>
      <c r="Q91" s="43">
        <v>10.0</v>
      </c>
      <c r="R91" s="38" t="s">
        <v>356</v>
      </c>
      <c r="S91" s="38">
        <v>15.875</v>
      </c>
      <c r="T91" s="38">
        <v>7.62</v>
      </c>
      <c r="U91" s="38" t="s">
        <v>41</v>
      </c>
      <c r="V91" s="44"/>
      <c r="X91" s="92"/>
      <c r="Y91" s="93"/>
      <c r="Z91" s="93"/>
    </row>
    <row r="92" ht="43.5" customHeight="1">
      <c r="A92" s="105" t="s">
        <v>368</v>
      </c>
      <c r="B92" s="18"/>
      <c r="C92" s="19" t="s">
        <v>369</v>
      </c>
      <c r="D92" s="26"/>
      <c r="E92" s="31" t="s">
        <v>370</v>
      </c>
      <c r="F92" s="26">
        <v>211.0</v>
      </c>
      <c r="G92" s="26" t="s">
        <v>368</v>
      </c>
      <c r="H92" s="22">
        <v>8.809668465907E12</v>
      </c>
      <c r="I92" s="23">
        <v>1.88096684659E12</v>
      </c>
      <c r="J92" s="26" t="s">
        <v>35</v>
      </c>
      <c r="K92" s="26">
        <v>1.0</v>
      </c>
      <c r="L92" s="35" t="s">
        <v>36</v>
      </c>
      <c r="M92" s="35" t="s">
        <v>37</v>
      </c>
      <c r="N92" s="33" t="s">
        <v>38</v>
      </c>
      <c r="O92" s="35" t="s">
        <v>371</v>
      </c>
      <c r="P92" s="26">
        <v>10.0</v>
      </c>
      <c r="Q92" s="33">
        <v>40.0</v>
      </c>
      <c r="R92" s="26" t="s">
        <v>40</v>
      </c>
      <c r="S92" s="26">
        <v>4.699</v>
      </c>
      <c r="T92" s="26">
        <v>5.4</v>
      </c>
      <c r="U92" s="26" t="s">
        <v>41</v>
      </c>
      <c r="V92" s="34"/>
      <c r="X92" s="92"/>
      <c r="Y92" s="93"/>
      <c r="Z92" s="93"/>
    </row>
    <row r="93" ht="43.5" customHeight="1">
      <c r="A93" s="30"/>
      <c r="B93" s="18"/>
      <c r="C93" s="19" t="s">
        <v>372</v>
      </c>
      <c r="D93" s="31"/>
      <c r="E93" s="31" t="s">
        <v>373</v>
      </c>
      <c r="F93" s="26">
        <v>211.0</v>
      </c>
      <c r="G93" s="26" t="s">
        <v>368</v>
      </c>
      <c r="H93" s="45"/>
      <c r="I93" s="46"/>
      <c r="J93" s="26" t="s">
        <v>35</v>
      </c>
      <c r="K93" s="26">
        <v>1.0</v>
      </c>
      <c r="L93" s="35" t="s">
        <v>36</v>
      </c>
      <c r="M93" s="35" t="s">
        <v>37</v>
      </c>
      <c r="N93" s="31" t="s">
        <v>344</v>
      </c>
      <c r="O93" s="26" t="s">
        <v>345</v>
      </c>
      <c r="P93" s="31">
        <v>50.0</v>
      </c>
      <c r="Q93" s="33">
        <v>10.0</v>
      </c>
      <c r="R93" s="26" t="s">
        <v>40</v>
      </c>
      <c r="S93" s="26">
        <v>4.699</v>
      </c>
      <c r="T93" s="26">
        <v>5.4</v>
      </c>
      <c r="U93" s="26" t="s">
        <v>41</v>
      </c>
      <c r="V93" s="34"/>
      <c r="X93" s="92"/>
      <c r="Y93" s="93"/>
      <c r="Z93" s="93"/>
    </row>
    <row r="94" ht="43.5" customHeight="1">
      <c r="A94" s="30"/>
      <c r="B94" s="18"/>
      <c r="C94" s="19" t="s">
        <v>374</v>
      </c>
      <c r="D94" s="31">
        <v>3120.0</v>
      </c>
      <c r="E94" s="31" t="s">
        <v>49</v>
      </c>
      <c r="F94" s="31">
        <v>212.0</v>
      </c>
      <c r="G94" s="26" t="s">
        <v>368</v>
      </c>
      <c r="H94" s="45"/>
      <c r="I94" s="46"/>
      <c r="J94" s="26" t="s">
        <v>35</v>
      </c>
      <c r="K94" s="31">
        <v>2.0</v>
      </c>
      <c r="L94" s="33" t="s">
        <v>50</v>
      </c>
      <c r="M94" s="33" t="s">
        <v>51</v>
      </c>
      <c r="N94" s="31" t="s">
        <v>38</v>
      </c>
      <c r="O94" s="26" t="s">
        <v>39</v>
      </c>
      <c r="P94" s="26">
        <v>10.0</v>
      </c>
      <c r="Q94" s="33">
        <v>40.0</v>
      </c>
      <c r="R94" s="26" t="s">
        <v>40</v>
      </c>
      <c r="S94" s="26">
        <v>5.715</v>
      </c>
      <c r="T94" s="26">
        <v>5.41</v>
      </c>
      <c r="U94" s="26" t="s">
        <v>41</v>
      </c>
      <c r="V94" s="34"/>
      <c r="X94" s="92"/>
      <c r="Y94" s="93"/>
      <c r="Z94" s="93"/>
    </row>
    <row r="95" ht="43.5" customHeight="1">
      <c r="A95" s="30"/>
      <c r="B95" s="18"/>
      <c r="C95" s="19" t="s">
        <v>375</v>
      </c>
      <c r="D95" s="26">
        <v>3118.0</v>
      </c>
      <c r="E95" s="31" t="s">
        <v>94</v>
      </c>
      <c r="F95" s="26">
        <v>614.0</v>
      </c>
      <c r="G95" s="26" t="s">
        <v>368</v>
      </c>
      <c r="H95" s="45"/>
      <c r="I95" s="46"/>
      <c r="J95" s="26" t="s">
        <v>35</v>
      </c>
      <c r="K95" s="26">
        <v>4.0</v>
      </c>
      <c r="L95" s="35" t="s">
        <v>59</v>
      </c>
      <c r="M95" s="35" t="s">
        <v>60</v>
      </c>
      <c r="N95" s="31" t="s">
        <v>38</v>
      </c>
      <c r="O95" s="26" t="s">
        <v>39</v>
      </c>
      <c r="P95" s="26">
        <v>10.0</v>
      </c>
      <c r="Q95" s="33">
        <v>40.0</v>
      </c>
      <c r="R95" s="26" t="s">
        <v>40</v>
      </c>
      <c r="S95" s="26">
        <v>9.89</v>
      </c>
      <c r="T95" s="26">
        <v>4.99</v>
      </c>
      <c r="U95" s="26" t="s">
        <v>41</v>
      </c>
      <c r="V95" s="34"/>
      <c r="X95" s="92"/>
      <c r="Y95" s="93"/>
      <c r="Z95" s="93"/>
    </row>
    <row r="96" ht="43.5" customHeight="1">
      <c r="A96" s="30"/>
      <c r="B96" s="18"/>
      <c r="C96" s="19" t="s">
        <v>376</v>
      </c>
      <c r="D96" s="26">
        <v>3114.0</v>
      </c>
      <c r="E96" s="31" t="s">
        <v>360</v>
      </c>
      <c r="F96" s="26">
        <v>224.0</v>
      </c>
      <c r="G96" s="26" t="s">
        <v>368</v>
      </c>
      <c r="H96" s="45"/>
      <c r="I96" s="46"/>
      <c r="J96" s="26" t="s">
        <v>35</v>
      </c>
      <c r="K96" s="26">
        <v>8.0</v>
      </c>
      <c r="L96" s="35" t="s">
        <v>109</v>
      </c>
      <c r="M96" s="35" t="s">
        <v>110</v>
      </c>
      <c r="N96" s="35" t="s">
        <v>38</v>
      </c>
      <c r="O96" s="35" t="s">
        <v>39</v>
      </c>
      <c r="P96" s="26">
        <v>10.0</v>
      </c>
      <c r="Q96" s="33">
        <v>40.0</v>
      </c>
      <c r="R96" s="26" t="s">
        <v>40</v>
      </c>
      <c r="S96" s="26">
        <v>13.792</v>
      </c>
      <c r="T96" s="26">
        <v>5.086</v>
      </c>
      <c r="U96" s="26" t="s">
        <v>41</v>
      </c>
      <c r="V96" s="34"/>
      <c r="X96" s="106"/>
      <c r="Y96" s="93"/>
      <c r="Z96" s="93"/>
    </row>
    <row r="97" ht="43.5" customHeight="1">
      <c r="A97" s="30"/>
      <c r="B97" s="18"/>
      <c r="C97" s="19" t="s">
        <v>377</v>
      </c>
      <c r="D97" s="26">
        <v>3107.0</v>
      </c>
      <c r="E97" s="31" t="s">
        <v>365</v>
      </c>
      <c r="F97" s="26">
        <v>228.0</v>
      </c>
      <c r="G97" s="26" t="s">
        <v>368</v>
      </c>
      <c r="H97" s="45"/>
      <c r="I97" s="46"/>
      <c r="J97" s="26" t="s">
        <v>35</v>
      </c>
      <c r="K97" s="26">
        <v>16.0</v>
      </c>
      <c r="L97" s="35" t="s">
        <v>129</v>
      </c>
      <c r="M97" s="35" t="s">
        <v>130</v>
      </c>
      <c r="N97" s="48" t="s">
        <v>354</v>
      </c>
      <c r="O97" s="48" t="s">
        <v>355</v>
      </c>
      <c r="P97" s="26">
        <v>10.0</v>
      </c>
      <c r="Q97" s="83">
        <v>40.0</v>
      </c>
      <c r="R97" s="26" t="s">
        <v>40</v>
      </c>
      <c r="S97" s="26">
        <v>13.792</v>
      </c>
      <c r="T97" s="26">
        <v>5.086</v>
      </c>
      <c r="U97" s="26" t="s">
        <v>41</v>
      </c>
      <c r="V97" s="34"/>
      <c r="X97" s="106"/>
      <c r="Y97" s="93"/>
      <c r="Z97" s="93"/>
    </row>
    <row r="98" ht="43.5" customHeight="1">
      <c r="A98" s="30"/>
      <c r="B98" s="18"/>
      <c r="C98" s="19" t="s">
        <v>378</v>
      </c>
      <c r="D98" s="55">
        <v>3105.0</v>
      </c>
      <c r="E98" s="61" t="s">
        <v>379</v>
      </c>
      <c r="F98" s="55">
        <v>237.0</v>
      </c>
      <c r="G98" s="55" t="s">
        <v>368</v>
      </c>
      <c r="H98" s="84">
        <v>8.809668465914E12</v>
      </c>
      <c r="I98" s="32">
        <v>1.880966846591E12</v>
      </c>
      <c r="J98" s="55" t="s">
        <v>35</v>
      </c>
      <c r="K98" s="55">
        <v>21.0</v>
      </c>
      <c r="L98" s="83" t="s">
        <v>142</v>
      </c>
      <c r="M98" s="83" t="s">
        <v>143</v>
      </c>
      <c r="N98" s="83" t="s">
        <v>38</v>
      </c>
      <c r="O98" s="48" t="s">
        <v>371</v>
      </c>
      <c r="P98" s="55">
        <v>10.0</v>
      </c>
      <c r="Q98" s="83">
        <v>40.0</v>
      </c>
      <c r="R98" s="55" t="s">
        <v>40</v>
      </c>
      <c r="S98" s="55">
        <v>15.875</v>
      </c>
      <c r="T98" s="55">
        <v>7.62</v>
      </c>
      <c r="U98" s="55" t="s">
        <v>41</v>
      </c>
      <c r="V98" s="76"/>
      <c r="X98" s="107"/>
      <c r="Y98" s="93"/>
      <c r="Z98" s="93"/>
    </row>
    <row r="99" ht="43.5" customHeight="1">
      <c r="A99" s="30"/>
      <c r="B99" s="56"/>
      <c r="C99" s="62" t="s">
        <v>380</v>
      </c>
      <c r="D99" s="63">
        <v>3102.0</v>
      </c>
      <c r="E99" s="64" t="s">
        <v>381</v>
      </c>
      <c r="F99" s="63">
        <v>540.0</v>
      </c>
      <c r="G99" s="63" t="s">
        <v>368</v>
      </c>
      <c r="H99" s="84">
        <v>8.809668465921E12</v>
      </c>
      <c r="I99" s="32">
        <v>1.880966846592E12</v>
      </c>
      <c r="J99" s="63" t="s">
        <v>35</v>
      </c>
      <c r="K99" s="63">
        <v>40.0</v>
      </c>
      <c r="L99" s="108" t="s">
        <v>195</v>
      </c>
      <c r="M99" s="108" t="s">
        <v>196</v>
      </c>
      <c r="N99" s="108" t="s">
        <v>38</v>
      </c>
      <c r="O99" s="74" t="s">
        <v>371</v>
      </c>
      <c r="P99" s="63">
        <v>10.0</v>
      </c>
      <c r="Q99" s="108">
        <v>40.0</v>
      </c>
      <c r="R99" s="63" t="s">
        <v>40</v>
      </c>
      <c r="S99" s="63">
        <v>14.0</v>
      </c>
      <c r="T99" s="63">
        <v>7.5</v>
      </c>
      <c r="U99" s="63" t="s">
        <v>41</v>
      </c>
      <c r="V99" s="109"/>
      <c r="X99" s="98"/>
      <c r="Y99" s="93"/>
      <c r="Z99" s="93"/>
    </row>
    <row r="100" ht="43.5" customHeight="1">
      <c r="A100" s="66"/>
      <c r="B100" s="36"/>
      <c r="C100" s="37" t="s">
        <v>382</v>
      </c>
      <c r="D100" s="58">
        <v>3101.0</v>
      </c>
      <c r="E100" s="80" t="s">
        <v>231</v>
      </c>
      <c r="F100" s="58">
        <v>562.0</v>
      </c>
      <c r="G100" s="58" t="s">
        <v>368</v>
      </c>
      <c r="H100" s="110"/>
      <c r="I100" s="111"/>
      <c r="J100" s="58" t="s">
        <v>35</v>
      </c>
      <c r="K100" s="58">
        <v>60.0</v>
      </c>
      <c r="L100" s="81" t="s">
        <v>209</v>
      </c>
      <c r="M100" s="81" t="s">
        <v>210</v>
      </c>
      <c r="N100" s="42" t="s">
        <v>38</v>
      </c>
      <c r="O100" s="42" t="s">
        <v>39</v>
      </c>
      <c r="P100" s="58">
        <v>10.0</v>
      </c>
      <c r="Q100" s="112">
        <v>40.0</v>
      </c>
      <c r="R100" s="58" t="s">
        <v>383</v>
      </c>
      <c r="S100" s="58">
        <v>23.5</v>
      </c>
      <c r="T100" s="58">
        <v>6.0</v>
      </c>
      <c r="U100" s="38" t="s">
        <v>384</v>
      </c>
      <c r="V100" s="82"/>
      <c r="W100" s="113"/>
      <c r="X100" s="92"/>
      <c r="Y100" s="93"/>
      <c r="Z100" s="93"/>
    </row>
    <row r="101" ht="43.5" customHeight="1">
      <c r="A101" s="114" t="s">
        <v>385</v>
      </c>
      <c r="B101" s="18"/>
      <c r="C101" s="19" t="s">
        <v>386</v>
      </c>
      <c r="D101" s="31"/>
      <c r="E101" s="31" t="s">
        <v>387</v>
      </c>
      <c r="F101" s="31">
        <v>211.0</v>
      </c>
      <c r="G101" s="31" t="s">
        <v>385</v>
      </c>
      <c r="H101" s="23">
        <v>8.809668465938E12</v>
      </c>
      <c r="I101" s="23">
        <v>1.880966846593E12</v>
      </c>
      <c r="J101" s="26" t="s">
        <v>35</v>
      </c>
      <c r="K101" s="31">
        <v>1.0</v>
      </c>
      <c r="L101" s="33" t="s">
        <v>36</v>
      </c>
      <c r="M101" s="33" t="s">
        <v>37</v>
      </c>
      <c r="N101" s="33" t="s">
        <v>38</v>
      </c>
      <c r="O101" s="35" t="s">
        <v>39</v>
      </c>
      <c r="P101" s="31">
        <v>10.0</v>
      </c>
      <c r="Q101" s="33">
        <v>40.0</v>
      </c>
      <c r="R101" s="26" t="s">
        <v>383</v>
      </c>
      <c r="S101" s="26">
        <v>4.699</v>
      </c>
      <c r="T101" s="26">
        <v>5.4</v>
      </c>
      <c r="U101" s="26" t="s">
        <v>384</v>
      </c>
      <c r="V101" s="34"/>
      <c r="X101" s="92"/>
      <c r="Y101" s="93"/>
      <c r="Z101" s="93"/>
    </row>
    <row r="102" ht="43.5" customHeight="1">
      <c r="A102" s="30"/>
      <c r="B102" s="18"/>
      <c r="C102" s="19" t="s">
        <v>388</v>
      </c>
      <c r="D102" s="31"/>
      <c r="E102" s="31" t="s">
        <v>389</v>
      </c>
      <c r="F102" s="31">
        <v>211.0</v>
      </c>
      <c r="G102" s="31" t="s">
        <v>385</v>
      </c>
      <c r="H102" s="46"/>
      <c r="I102" s="46"/>
      <c r="J102" s="26" t="s">
        <v>35</v>
      </c>
      <c r="K102" s="31">
        <v>1.0</v>
      </c>
      <c r="L102" s="33" t="s">
        <v>36</v>
      </c>
      <c r="M102" s="33" t="s">
        <v>37</v>
      </c>
      <c r="N102" s="31" t="s">
        <v>344</v>
      </c>
      <c r="O102" s="26" t="s">
        <v>345</v>
      </c>
      <c r="P102" s="31">
        <v>50.0</v>
      </c>
      <c r="Q102" s="33">
        <v>10.0</v>
      </c>
      <c r="R102" s="26" t="s">
        <v>383</v>
      </c>
      <c r="S102" s="26">
        <v>4.699</v>
      </c>
      <c r="T102" s="26">
        <v>5.4</v>
      </c>
      <c r="U102" s="26" t="s">
        <v>384</v>
      </c>
      <c r="V102" s="34"/>
      <c r="X102" s="98"/>
      <c r="Y102" s="93"/>
      <c r="Z102" s="93"/>
    </row>
    <row r="103" ht="43.5" customHeight="1">
      <c r="A103" s="30"/>
      <c r="B103" s="18"/>
      <c r="C103" s="115" t="s">
        <v>390</v>
      </c>
      <c r="D103" s="31" t="s">
        <v>49</v>
      </c>
      <c r="E103" s="31">
        <v>212.0</v>
      </c>
      <c r="F103" s="31"/>
      <c r="G103" s="31" t="s">
        <v>385</v>
      </c>
      <c r="H103" s="46"/>
      <c r="I103" s="46"/>
      <c r="J103" s="26" t="s">
        <v>35</v>
      </c>
      <c r="K103" s="31">
        <v>2.0</v>
      </c>
      <c r="L103" s="33" t="s">
        <v>50</v>
      </c>
      <c r="M103" s="33" t="s">
        <v>51</v>
      </c>
      <c r="N103" s="31" t="s">
        <v>38</v>
      </c>
      <c r="O103" s="26" t="s">
        <v>39</v>
      </c>
      <c r="P103" s="31">
        <v>10.0</v>
      </c>
      <c r="Q103" s="33">
        <v>40.0</v>
      </c>
      <c r="R103" s="26" t="s">
        <v>383</v>
      </c>
      <c r="S103" s="26">
        <v>5.715</v>
      </c>
      <c r="T103" s="26">
        <v>5.41</v>
      </c>
      <c r="U103" s="26" t="s">
        <v>384</v>
      </c>
      <c r="V103" s="34"/>
      <c r="X103" s="98"/>
      <c r="Y103" s="93"/>
      <c r="Z103" s="93"/>
    </row>
    <row r="104" ht="43.5" customHeight="1">
      <c r="A104" s="30"/>
      <c r="B104" s="18"/>
      <c r="C104" s="19" t="s">
        <v>391</v>
      </c>
      <c r="D104" s="31">
        <v>3114.0</v>
      </c>
      <c r="E104" s="31" t="s">
        <v>392</v>
      </c>
      <c r="F104" s="31">
        <v>224.0</v>
      </c>
      <c r="G104" s="31" t="s">
        <v>385</v>
      </c>
      <c r="H104" s="32">
        <v>8.809668465945E12</v>
      </c>
      <c r="I104" s="32">
        <v>1.880966846594E12</v>
      </c>
      <c r="J104" s="26" t="s">
        <v>35</v>
      </c>
      <c r="K104" s="31">
        <v>8.0</v>
      </c>
      <c r="L104" s="33" t="s">
        <v>109</v>
      </c>
      <c r="M104" s="33" t="s">
        <v>110</v>
      </c>
      <c r="N104" s="33" t="s">
        <v>38</v>
      </c>
      <c r="O104" s="35" t="s">
        <v>39</v>
      </c>
      <c r="P104" s="31">
        <v>10.0</v>
      </c>
      <c r="Q104" s="33">
        <v>40.0</v>
      </c>
      <c r="R104" s="26" t="s">
        <v>383</v>
      </c>
      <c r="S104" s="26">
        <v>13.792</v>
      </c>
      <c r="T104" s="26">
        <v>5.086</v>
      </c>
      <c r="U104" s="26" t="s">
        <v>384</v>
      </c>
      <c r="V104" s="34"/>
      <c r="X104" s="98"/>
      <c r="Y104" s="93"/>
      <c r="Z104" s="93"/>
    </row>
    <row r="105" ht="43.5" customHeight="1">
      <c r="A105" s="30"/>
      <c r="B105" s="18"/>
      <c r="C105" s="19" t="s">
        <v>393</v>
      </c>
      <c r="D105" s="31">
        <v>3107.0</v>
      </c>
      <c r="E105" s="31" t="s">
        <v>394</v>
      </c>
      <c r="F105" s="31">
        <v>228.0</v>
      </c>
      <c r="G105" s="31" t="s">
        <v>385</v>
      </c>
      <c r="H105" s="32">
        <v>8.809668465969E12</v>
      </c>
      <c r="I105" s="32">
        <v>1.880966846596E12</v>
      </c>
      <c r="J105" s="26" t="s">
        <v>35</v>
      </c>
      <c r="K105" s="31">
        <v>16.0</v>
      </c>
      <c r="L105" s="35" t="s">
        <v>129</v>
      </c>
      <c r="M105" s="33" t="s">
        <v>130</v>
      </c>
      <c r="N105" s="33" t="s">
        <v>38</v>
      </c>
      <c r="O105" s="35" t="s">
        <v>39</v>
      </c>
      <c r="P105" s="31">
        <v>10.0</v>
      </c>
      <c r="Q105" s="33">
        <v>40.0</v>
      </c>
      <c r="R105" s="26" t="s">
        <v>383</v>
      </c>
      <c r="S105" s="26">
        <v>13.792</v>
      </c>
      <c r="T105" s="26">
        <v>5.086</v>
      </c>
      <c r="U105" s="26" t="s">
        <v>384</v>
      </c>
      <c r="V105" s="34"/>
      <c r="X105" s="98"/>
      <c r="Y105" s="93"/>
      <c r="Z105" s="93"/>
    </row>
    <row r="106" ht="43.5" customHeight="1">
      <c r="A106" s="30"/>
      <c r="B106" s="18"/>
      <c r="C106" s="19" t="s">
        <v>395</v>
      </c>
      <c r="D106" s="31">
        <v>3105.0</v>
      </c>
      <c r="E106" s="31" t="s">
        <v>396</v>
      </c>
      <c r="F106" s="31">
        <v>237.0</v>
      </c>
      <c r="G106" s="31" t="s">
        <v>385</v>
      </c>
      <c r="H106" s="41">
        <v>8.809668465976E12</v>
      </c>
      <c r="I106" s="41">
        <v>1.880966846597E12</v>
      </c>
      <c r="J106" s="26" t="s">
        <v>35</v>
      </c>
      <c r="K106" s="31">
        <v>21.0</v>
      </c>
      <c r="L106" s="33" t="s">
        <v>142</v>
      </c>
      <c r="M106" s="33" t="s">
        <v>143</v>
      </c>
      <c r="N106" s="33" t="s">
        <v>38</v>
      </c>
      <c r="O106" s="35" t="s">
        <v>39</v>
      </c>
      <c r="P106" s="31">
        <v>10.0</v>
      </c>
      <c r="Q106" s="33">
        <v>40.0</v>
      </c>
      <c r="R106" s="26" t="s">
        <v>383</v>
      </c>
      <c r="S106" s="26">
        <v>15.875</v>
      </c>
      <c r="T106" s="26">
        <v>7.62</v>
      </c>
      <c r="U106" s="26" t="s">
        <v>384</v>
      </c>
      <c r="V106" s="34"/>
      <c r="X106" s="92"/>
      <c r="Y106" s="93"/>
      <c r="Z106" s="93"/>
    </row>
    <row r="107" ht="43.5" customHeight="1">
      <c r="A107" s="116" t="s">
        <v>397</v>
      </c>
      <c r="B107" s="117"/>
      <c r="C107" s="118" t="s">
        <v>398</v>
      </c>
      <c r="D107" s="52"/>
      <c r="E107" s="21" t="s">
        <v>399</v>
      </c>
      <c r="F107" s="52">
        <v>611.0</v>
      </c>
      <c r="G107" s="20" t="s">
        <v>397</v>
      </c>
      <c r="H107" s="23">
        <v>8.80966846599E12</v>
      </c>
      <c r="I107" s="23">
        <v>1.880966846599E12</v>
      </c>
      <c r="J107" s="20" t="s">
        <v>35</v>
      </c>
      <c r="K107" s="52">
        <v>1.0</v>
      </c>
      <c r="L107" s="24" t="s">
        <v>45</v>
      </c>
      <c r="M107" s="119" t="s">
        <v>45</v>
      </c>
      <c r="N107" s="24" t="s">
        <v>38</v>
      </c>
      <c r="O107" s="119" t="s">
        <v>39</v>
      </c>
      <c r="P107" s="20">
        <v>5.0</v>
      </c>
      <c r="Q107" s="119">
        <v>40.0</v>
      </c>
      <c r="R107" s="20" t="s">
        <v>400</v>
      </c>
      <c r="S107" s="52" t="s">
        <v>46</v>
      </c>
      <c r="T107" s="20" t="s">
        <v>46</v>
      </c>
      <c r="U107" s="52" t="s">
        <v>41</v>
      </c>
      <c r="V107" s="120"/>
      <c r="X107" s="121"/>
      <c r="Y107" s="93"/>
      <c r="Z107" s="93"/>
    </row>
    <row r="108" ht="43.5" customHeight="1">
      <c r="A108" s="30"/>
      <c r="B108" s="73"/>
      <c r="C108" s="62" t="s">
        <v>401</v>
      </c>
      <c r="D108" s="61"/>
      <c r="E108" s="57" t="s">
        <v>402</v>
      </c>
      <c r="F108" s="55">
        <v>611.0</v>
      </c>
      <c r="G108" s="47" t="s">
        <v>397</v>
      </c>
      <c r="H108" s="46"/>
      <c r="I108" s="46"/>
      <c r="J108" s="47" t="s">
        <v>35</v>
      </c>
      <c r="K108" s="55">
        <v>1.0</v>
      </c>
      <c r="L108" s="85" t="s">
        <v>45</v>
      </c>
      <c r="M108" s="48" t="s">
        <v>45</v>
      </c>
      <c r="N108" s="31" t="s">
        <v>344</v>
      </c>
      <c r="O108" s="26" t="s">
        <v>345</v>
      </c>
      <c r="P108" s="31">
        <v>50.0</v>
      </c>
      <c r="Q108" s="33">
        <v>10.0</v>
      </c>
      <c r="R108" s="47" t="s">
        <v>400</v>
      </c>
      <c r="S108" s="55" t="s">
        <v>46</v>
      </c>
      <c r="T108" s="47" t="s">
        <v>46</v>
      </c>
      <c r="U108" s="55" t="s">
        <v>41</v>
      </c>
      <c r="V108" s="122"/>
      <c r="X108" s="121"/>
      <c r="Y108" s="93"/>
      <c r="Z108" s="93"/>
    </row>
    <row r="109" ht="43.5" customHeight="1">
      <c r="A109" s="30"/>
      <c r="B109" s="18"/>
      <c r="C109" s="19" t="s">
        <v>403</v>
      </c>
      <c r="D109" s="61">
        <v>3120.0</v>
      </c>
      <c r="E109" s="31" t="s">
        <v>49</v>
      </c>
      <c r="F109" s="61">
        <v>212.0</v>
      </c>
      <c r="G109" s="63" t="s">
        <v>397</v>
      </c>
      <c r="H109" s="46"/>
      <c r="I109" s="46"/>
      <c r="J109" s="26" t="s">
        <v>35</v>
      </c>
      <c r="K109" s="61">
        <v>2.0</v>
      </c>
      <c r="L109" s="33" t="s">
        <v>50</v>
      </c>
      <c r="M109" s="83" t="s">
        <v>51</v>
      </c>
      <c r="N109" s="31" t="s">
        <v>38</v>
      </c>
      <c r="O109" s="55" t="s">
        <v>39</v>
      </c>
      <c r="P109" s="31">
        <v>5.0</v>
      </c>
      <c r="Q109" s="83">
        <v>40.0</v>
      </c>
      <c r="R109" s="26" t="s">
        <v>400</v>
      </c>
      <c r="S109" s="55">
        <v>5.715</v>
      </c>
      <c r="T109" s="26">
        <v>5.41</v>
      </c>
      <c r="U109" s="55" t="s">
        <v>41</v>
      </c>
      <c r="V109" s="122"/>
      <c r="X109" s="106"/>
      <c r="Y109" s="93"/>
      <c r="Z109" s="93"/>
    </row>
    <row r="110" ht="43.5" customHeight="1">
      <c r="A110" s="30"/>
      <c r="B110" s="18"/>
      <c r="C110" s="19" t="s">
        <v>404</v>
      </c>
      <c r="D110" s="61">
        <v>3114.0</v>
      </c>
      <c r="E110" s="31" t="s">
        <v>392</v>
      </c>
      <c r="F110" s="61">
        <v>224.0</v>
      </c>
      <c r="G110" s="63" t="s">
        <v>397</v>
      </c>
      <c r="H110" s="46"/>
      <c r="I110" s="46"/>
      <c r="J110" s="26" t="s">
        <v>35</v>
      </c>
      <c r="K110" s="55">
        <v>8.0</v>
      </c>
      <c r="L110" s="35" t="s">
        <v>109</v>
      </c>
      <c r="M110" s="48" t="s">
        <v>110</v>
      </c>
      <c r="N110" s="35" t="s">
        <v>38</v>
      </c>
      <c r="O110" s="48" t="s">
        <v>39</v>
      </c>
      <c r="P110" s="31">
        <v>5.0</v>
      </c>
      <c r="Q110" s="83">
        <v>40.0</v>
      </c>
      <c r="R110" s="26" t="s">
        <v>400</v>
      </c>
      <c r="S110" s="55">
        <v>13.792</v>
      </c>
      <c r="T110" s="26">
        <v>5.086</v>
      </c>
      <c r="U110" s="55" t="s">
        <v>41</v>
      </c>
      <c r="V110" s="122"/>
      <c r="X110" s="98"/>
      <c r="Y110" s="93"/>
      <c r="Z110" s="93"/>
    </row>
    <row r="111" ht="43.5" customHeight="1">
      <c r="A111" s="30"/>
      <c r="B111" s="18"/>
      <c r="C111" s="19" t="s">
        <v>405</v>
      </c>
      <c r="D111" s="55">
        <v>3107.0</v>
      </c>
      <c r="E111" s="31" t="s">
        <v>406</v>
      </c>
      <c r="F111" s="55">
        <v>228.0</v>
      </c>
      <c r="G111" s="63" t="s">
        <v>397</v>
      </c>
      <c r="H111" s="32">
        <v>8.809668466003E12</v>
      </c>
      <c r="I111" s="32">
        <v>1.8809668466E12</v>
      </c>
      <c r="J111" s="26" t="s">
        <v>35</v>
      </c>
      <c r="K111" s="55">
        <v>16.0</v>
      </c>
      <c r="L111" s="35" t="s">
        <v>129</v>
      </c>
      <c r="M111" s="48" t="s">
        <v>130</v>
      </c>
      <c r="N111" s="35" t="s">
        <v>38</v>
      </c>
      <c r="O111" s="48" t="s">
        <v>39</v>
      </c>
      <c r="P111" s="26">
        <v>5.0</v>
      </c>
      <c r="Q111" s="48">
        <v>40.0</v>
      </c>
      <c r="R111" s="26" t="s">
        <v>400</v>
      </c>
      <c r="S111" s="55">
        <v>15.88</v>
      </c>
      <c r="T111" s="26">
        <v>5.09</v>
      </c>
      <c r="U111" s="55" t="s">
        <v>41</v>
      </c>
      <c r="V111" s="122"/>
      <c r="X111" s="98"/>
      <c r="Y111" s="93"/>
      <c r="Z111" s="93"/>
    </row>
    <row r="112" ht="43.5" customHeight="1">
      <c r="A112" s="30"/>
      <c r="B112" s="18"/>
      <c r="C112" s="19" t="s">
        <v>407</v>
      </c>
      <c r="D112" s="58">
        <v>3105.0</v>
      </c>
      <c r="E112" s="31" t="s">
        <v>408</v>
      </c>
      <c r="F112" s="58">
        <v>237.0</v>
      </c>
      <c r="G112" s="26" t="s">
        <v>397</v>
      </c>
      <c r="H112" s="41">
        <v>8.80966846601E12</v>
      </c>
      <c r="I112" s="41">
        <v>1.880966846601E12</v>
      </c>
      <c r="J112" s="26" t="s">
        <v>35</v>
      </c>
      <c r="K112" s="58">
        <v>21.0</v>
      </c>
      <c r="L112" s="35" t="s">
        <v>142</v>
      </c>
      <c r="M112" s="81" t="s">
        <v>143</v>
      </c>
      <c r="N112" s="35" t="s">
        <v>38</v>
      </c>
      <c r="O112" s="81" t="s">
        <v>39</v>
      </c>
      <c r="P112" s="26">
        <v>5.0</v>
      </c>
      <c r="Q112" s="81">
        <v>40.0</v>
      </c>
      <c r="R112" s="26" t="s">
        <v>400</v>
      </c>
      <c r="S112" s="58">
        <v>15.88</v>
      </c>
      <c r="T112" s="38">
        <v>7.62</v>
      </c>
      <c r="U112" s="58" t="s">
        <v>41</v>
      </c>
      <c r="V112" s="122"/>
      <c r="X112" s="92"/>
      <c r="Y112" s="123"/>
      <c r="Z112" s="123"/>
    </row>
    <row r="113" ht="43.5" customHeight="1">
      <c r="A113" s="116" t="s">
        <v>409</v>
      </c>
      <c r="B113" s="117"/>
      <c r="C113" s="118" t="s">
        <v>410</v>
      </c>
      <c r="D113" s="90"/>
      <c r="E113" s="124" t="s">
        <v>411</v>
      </c>
      <c r="F113" s="90">
        <v>211.0</v>
      </c>
      <c r="G113" s="90" t="s">
        <v>409</v>
      </c>
      <c r="H113" s="22">
        <v>8.809668466027E12</v>
      </c>
      <c r="I113" s="23">
        <v>1.880966846602E12</v>
      </c>
      <c r="J113" s="125" t="s">
        <v>35</v>
      </c>
      <c r="K113" s="90">
        <v>1.0</v>
      </c>
      <c r="L113" s="25" t="s">
        <v>412</v>
      </c>
      <c r="M113" s="126" t="s">
        <v>37</v>
      </c>
      <c r="N113" s="125" t="s">
        <v>38</v>
      </c>
      <c r="O113" s="127" t="s">
        <v>39</v>
      </c>
      <c r="P113" s="125">
        <v>10.0</v>
      </c>
      <c r="Q113" s="90">
        <v>40.0</v>
      </c>
      <c r="R113" s="20" t="s">
        <v>400</v>
      </c>
      <c r="S113" s="52">
        <v>4.699</v>
      </c>
      <c r="T113" s="26">
        <v>5.4</v>
      </c>
      <c r="U113" s="52" t="s">
        <v>41</v>
      </c>
      <c r="V113" s="128"/>
      <c r="X113" s="92"/>
      <c r="Y113" s="93"/>
      <c r="Z113" s="93"/>
    </row>
    <row r="114" ht="43.5" customHeight="1">
      <c r="A114" s="30"/>
      <c r="B114" s="73"/>
      <c r="C114" s="129" t="s">
        <v>413</v>
      </c>
      <c r="D114" s="61"/>
      <c r="E114" s="130" t="s">
        <v>414</v>
      </c>
      <c r="F114" s="78">
        <v>211.0</v>
      </c>
      <c r="G114" s="78" t="s">
        <v>409</v>
      </c>
      <c r="H114" s="45"/>
      <c r="I114" s="46"/>
      <c r="J114" s="77" t="s">
        <v>35</v>
      </c>
      <c r="K114" s="78">
        <v>1.0</v>
      </c>
      <c r="L114" s="75" t="s">
        <v>412</v>
      </c>
      <c r="M114" s="83" t="s">
        <v>37</v>
      </c>
      <c r="N114" s="31" t="s">
        <v>344</v>
      </c>
      <c r="O114" s="26" t="s">
        <v>345</v>
      </c>
      <c r="P114" s="31">
        <v>50.0</v>
      </c>
      <c r="Q114" s="33">
        <v>10.0</v>
      </c>
      <c r="R114" s="47" t="s">
        <v>400</v>
      </c>
      <c r="S114" s="55">
        <v>4.699</v>
      </c>
      <c r="T114" s="47">
        <v>5.4</v>
      </c>
      <c r="U114" s="55" t="s">
        <v>41</v>
      </c>
      <c r="V114" s="131"/>
      <c r="X114" s="92"/>
      <c r="Y114" s="93"/>
      <c r="Z114" s="93"/>
    </row>
    <row r="115" ht="43.5" customHeight="1">
      <c r="A115" s="30"/>
      <c r="B115" s="18"/>
      <c r="C115" s="19" t="s">
        <v>415</v>
      </c>
      <c r="D115" s="61">
        <v>3120.0</v>
      </c>
      <c r="E115" s="31" t="s">
        <v>49</v>
      </c>
      <c r="F115" s="61">
        <v>212.0</v>
      </c>
      <c r="G115" s="78" t="s">
        <v>409</v>
      </c>
      <c r="H115" s="45"/>
      <c r="I115" s="46"/>
      <c r="J115" s="26" t="s">
        <v>35</v>
      </c>
      <c r="K115" s="61">
        <v>2.0</v>
      </c>
      <c r="L115" s="33" t="s">
        <v>50</v>
      </c>
      <c r="M115" s="83" t="s">
        <v>51</v>
      </c>
      <c r="N115" s="31" t="s">
        <v>38</v>
      </c>
      <c r="O115" s="55" t="s">
        <v>39</v>
      </c>
      <c r="P115" s="31">
        <v>10.0</v>
      </c>
      <c r="Q115" s="83">
        <v>40.0</v>
      </c>
      <c r="R115" s="26" t="s">
        <v>400</v>
      </c>
      <c r="S115" s="55">
        <v>5.715</v>
      </c>
      <c r="T115" s="26">
        <v>5.41</v>
      </c>
      <c r="U115" s="55" t="s">
        <v>41</v>
      </c>
      <c r="V115" s="131"/>
      <c r="X115" s="98"/>
      <c r="Y115" s="93"/>
      <c r="Z115" s="93"/>
    </row>
    <row r="116" ht="43.5" customHeight="1">
      <c r="A116" s="30"/>
      <c r="B116" s="18"/>
      <c r="C116" s="19" t="s">
        <v>416</v>
      </c>
      <c r="D116" s="61">
        <v>3114.0</v>
      </c>
      <c r="E116" s="31" t="s">
        <v>392</v>
      </c>
      <c r="F116" s="61">
        <v>224.0</v>
      </c>
      <c r="G116" s="78" t="s">
        <v>409</v>
      </c>
      <c r="H116" s="45"/>
      <c r="I116" s="46"/>
      <c r="J116" s="26" t="s">
        <v>35</v>
      </c>
      <c r="K116" s="55">
        <v>8.0</v>
      </c>
      <c r="L116" s="35" t="s">
        <v>109</v>
      </c>
      <c r="M116" s="48" t="s">
        <v>110</v>
      </c>
      <c r="N116" s="35" t="s">
        <v>38</v>
      </c>
      <c r="O116" s="48" t="s">
        <v>39</v>
      </c>
      <c r="P116" s="31">
        <v>10.0</v>
      </c>
      <c r="Q116" s="83">
        <v>40.0</v>
      </c>
      <c r="R116" s="26" t="s">
        <v>400</v>
      </c>
      <c r="S116" s="55">
        <v>13.792</v>
      </c>
      <c r="T116" s="26">
        <v>5.086</v>
      </c>
      <c r="U116" s="55" t="s">
        <v>41</v>
      </c>
      <c r="V116" s="131"/>
      <c r="X116" s="98"/>
      <c r="Y116" s="93"/>
      <c r="Z116" s="93"/>
    </row>
    <row r="117" ht="43.5" customHeight="1">
      <c r="A117" s="30"/>
      <c r="B117" s="18"/>
      <c r="C117" s="19" t="s">
        <v>417</v>
      </c>
      <c r="D117" s="78">
        <v>3107.0</v>
      </c>
      <c r="E117" s="132" t="s">
        <v>418</v>
      </c>
      <c r="F117" s="78">
        <v>228.0</v>
      </c>
      <c r="G117" s="78" t="s">
        <v>409</v>
      </c>
      <c r="H117" s="22">
        <v>8.809668466034E12</v>
      </c>
      <c r="I117" s="32">
        <v>1.880966846603E12</v>
      </c>
      <c r="J117" s="133" t="s">
        <v>35</v>
      </c>
      <c r="K117" s="78">
        <v>16.0</v>
      </c>
      <c r="L117" s="33" t="s">
        <v>129</v>
      </c>
      <c r="M117" s="83" t="s">
        <v>130</v>
      </c>
      <c r="N117" s="133" t="s">
        <v>38</v>
      </c>
      <c r="O117" s="134" t="s">
        <v>39</v>
      </c>
      <c r="P117" s="133">
        <v>10.0</v>
      </c>
      <c r="Q117" s="78">
        <v>40.0</v>
      </c>
      <c r="R117" s="26" t="s">
        <v>400</v>
      </c>
      <c r="S117" s="55">
        <v>15.88</v>
      </c>
      <c r="T117" s="26">
        <v>5.09</v>
      </c>
      <c r="U117" s="55" t="s">
        <v>41</v>
      </c>
      <c r="V117" s="131"/>
      <c r="X117" s="98"/>
      <c r="Y117" s="93"/>
      <c r="Z117" s="93"/>
    </row>
    <row r="118" ht="43.5" customHeight="1">
      <c r="A118" s="66"/>
      <c r="B118" s="36"/>
      <c r="C118" s="37" t="s">
        <v>419</v>
      </c>
      <c r="D118" s="101">
        <v>3105.0</v>
      </c>
      <c r="E118" s="135" t="s">
        <v>420</v>
      </c>
      <c r="F118" s="101">
        <v>237.0</v>
      </c>
      <c r="G118" s="101" t="s">
        <v>409</v>
      </c>
      <c r="H118" s="40">
        <v>8.809668466041E12</v>
      </c>
      <c r="I118" s="41">
        <v>1.880966846604E12</v>
      </c>
      <c r="J118" s="136" t="s">
        <v>35</v>
      </c>
      <c r="K118" s="101">
        <v>21.0</v>
      </c>
      <c r="L118" s="70" t="s">
        <v>142</v>
      </c>
      <c r="M118" s="112" t="s">
        <v>143</v>
      </c>
      <c r="N118" s="136" t="s">
        <v>38</v>
      </c>
      <c r="O118" s="137" t="s">
        <v>39</v>
      </c>
      <c r="P118" s="136">
        <v>10.0</v>
      </c>
      <c r="Q118" s="101">
        <v>40.0</v>
      </c>
      <c r="R118" s="68" t="s">
        <v>400</v>
      </c>
      <c r="S118" s="58">
        <v>15.88</v>
      </c>
      <c r="T118" s="68">
        <v>7.62</v>
      </c>
      <c r="U118" s="58" t="s">
        <v>41</v>
      </c>
      <c r="V118" s="138"/>
      <c r="X118" s="98"/>
      <c r="Y118" s="93"/>
      <c r="Z118" s="93"/>
    </row>
    <row r="119" ht="43.5" customHeight="1">
      <c r="A119" s="139" t="s">
        <v>421</v>
      </c>
      <c r="B119" s="56"/>
      <c r="C119" s="62" t="s">
        <v>422</v>
      </c>
      <c r="D119" s="63"/>
      <c r="E119" s="140" t="s">
        <v>423</v>
      </c>
      <c r="F119" s="47"/>
      <c r="G119" s="52" t="s">
        <v>424</v>
      </c>
      <c r="H119" s="141"/>
      <c r="I119" s="141"/>
      <c r="J119" s="26" t="s">
        <v>35</v>
      </c>
      <c r="K119" s="47">
        <v>1.0</v>
      </c>
      <c r="L119" s="119" t="s">
        <v>36</v>
      </c>
      <c r="M119" s="85" t="s">
        <v>37</v>
      </c>
      <c r="N119" s="119" t="s">
        <v>38</v>
      </c>
      <c r="O119" s="35" t="s">
        <v>39</v>
      </c>
      <c r="P119" s="142">
        <v>10.0</v>
      </c>
      <c r="Q119" s="143">
        <v>40.0</v>
      </c>
      <c r="R119" s="47" t="s">
        <v>400</v>
      </c>
      <c r="S119" s="52" t="s">
        <v>425</v>
      </c>
      <c r="T119" s="52" t="s">
        <v>425</v>
      </c>
      <c r="U119" s="26" t="s">
        <v>41</v>
      </c>
      <c r="V119" s="144"/>
      <c r="X119" s="98"/>
      <c r="Y119" s="93"/>
      <c r="Z119" s="93"/>
    </row>
    <row r="120" ht="43.5" customHeight="1">
      <c r="B120" s="56"/>
      <c r="C120" s="62" t="s">
        <v>426</v>
      </c>
      <c r="D120" s="145"/>
      <c r="E120" s="61" t="s">
        <v>427</v>
      </c>
      <c r="F120" s="47"/>
      <c r="G120" s="63" t="s">
        <v>424</v>
      </c>
      <c r="H120" s="141"/>
      <c r="I120" s="141"/>
      <c r="J120" s="26" t="s">
        <v>35</v>
      </c>
      <c r="K120" s="47">
        <v>9.0</v>
      </c>
      <c r="L120" s="48" t="s">
        <v>428</v>
      </c>
      <c r="M120" s="85" t="s">
        <v>428</v>
      </c>
      <c r="N120" s="48" t="s">
        <v>38</v>
      </c>
      <c r="O120" s="35" t="s">
        <v>39</v>
      </c>
      <c r="P120" s="142">
        <v>10.0</v>
      </c>
      <c r="Q120" s="143">
        <v>40.0</v>
      </c>
      <c r="R120" s="47" t="s">
        <v>400</v>
      </c>
      <c r="S120" s="55" t="s">
        <v>425</v>
      </c>
      <c r="T120" s="55" t="s">
        <v>425</v>
      </c>
      <c r="U120" s="47" t="s">
        <v>41</v>
      </c>
      <c r="V120" s="146"/>
      <c r="X120" s="98"/>
      <c r="Y120" s="93"/>
      <c r="Z120" s="93"/>
    </row>
    <row r="121" ht="43.5" customHeight="1">
      <c r="B121" s="56"/>
      <c r="C121" s="62" t="s">
        <v>429</v>
      </c>
      <c r="D121" s="63"/>
      <c r="E121" s="61" t="s">
        <v>430</v>
      </c>
      <c r="F121" s="47"/>
      <c r="G121" s="63" t="s">
        <v>424</v>
      </c>
      <c r="H121" s="141"/>
      <c r="I121" s="141"/>
      <c r="J121" s="26" t="s">
        <v>35</v>
      </c>
      <c r="K121" s="47">
        <v>16.0</v>
      </c>
      <c r="L121" s="48" t="s">
        <v>431</v>
      </c>
      <c r="M121" s="85" t="s">
        <v>431</v>
      </c>
      <c r="N121" s="48" t="s">
        <v>38</v>
      </c>
      <c r="O121" s="35" t="s">
        <v>39</v>
      </c>
      <c r="P121" s="142">
        <v>10.0</v>
      </c>
      <c r="Q121" s="143">
        <v>40.0</v>
      </c>
      <c r="R121" s="47" t="s">
        <v>400</v>
      </c>
      <c r="S121" s="55" t="s">
        <v>425</v>
      </c>
      <c r="T121" s="55" t="s">
        <v>425</v>
      </c>
      <c r="U121" s="47" t="s">
        <v>41</v>
      </c>
      <c r="V121" s="146"/>
      <c r="X121" s="98"/>
      <c r="Y121" s="93"/>
      <c r="Z121" s="93"/>
    </row>
    <row r="122" ht="43.5" customHeight="1">
      <c r="A122" s="147"/>
      <c r="B122" s="148"/>
      <c r="C122" s="149" t="s">
        <v>432</v>
      </c>
      <c r="D122" s="150"/>
      <c r="E122" s="80" t="s">
        <v>433</v>
      </c>
      <c r="F122" s="151"/>
      <c r="G122" s="58" t="s">
        <v>424</v>
      </c>
      <c r="H122" s="110"/>
      <c r="I122" s="110"/>
      <c r="J122" s="38" t="s">
        <v>35</v>
      </c>
      <c r="K122" s="151">
        <v>25.0</v>
      </c>
      <c r="L122" s="81" t="s">
        <v>434</v>
      </c>
      <c r="M122" s="152" t="s">
        <v>434</v>
      </c>
      <c r="N122" s="81" t="s">
        <v>38</v>
      </c>
      <c r="O122" s="42" t="s">
        <v>39</v>
      </c>
      <c r="P122" s="153">
        <v>10.0</v>
      </c>
      <c r="Q122" s="154">
        <v>40.0</v>
      </c>
      <c r="R122" s="151" t="s">
        <v>400</v>
      </c>
      <c r="S122" s="58" t="s">
        <v>425</v>
      </c>
      <c r="T122" s="58" t="s">
        <v>425</v>
      </c>
      <c r="U122" s="151" t="s">
        <v>41</v>
      </c>
      <c r="V122" s="155"/>
      <c r="X122" s="98"/>
      <c r="Y122" s="93"/>
      <c r="Z122" s="93"/>
    </row>
    <row r="123" ht="43.5" customHeight="1">
      <c r="A123" s="156" t="s">
        <v>435</v>
      </c>
      <c r="B123" s="18"/>
      <c r="C123" s="19" t="s">
        <v>436</v>
      </c>
      <c r="D123" s="26"/>
      <c r="E123" s="31" t="s">
        <v>437</v>
      </c>
      <c r="F123" s="26">
        <v>211.0</v>
      </c>
      <c r="G123" s="26" t="s">
        <v>438</v>
      </c>
      <c r="H123" s="22">
        <v>8.809668466058E12</v>
      </c>
      <c r="I123" s="23">
        <v>1.880966846605E12</v>
      </c>
      <c r="J123" s="26" t="s">
        <v>35</v>
      </c>
      <c r="K123" s="26">
        <v>1.0</v>
      </c>
      <c r="L123" s="35" t="s">
        <v>36</v>
      </c>
      <c r="M123" s="35" t="s">
        <v>37</v>
      </c>
      <c r="N123" s="35" t="s">
        <v>38</v>
      </c>
      <c r="O123" s="35" t="s">
        <v>39</v>
      </c>
      <c r="P123" s="26">
        <v>10.0</v>
      </c>
      <c r="Q123" s="33">
        <v>40.0</v>
      </c>
      <c r="R123" s="26" t="s">
        <v>439</v>
      </c>
      <c r="S123" s="26">
        <v>4.699</v>
      </c>
      <c r="T123" s="26">
        <v>5.4</v>
      </c>
      <c r="U123" s="26" t="s">
        <v>41</v>
      </c>
      <c r="V123" s="34"/>
      <c r="X123" s="98"/>
      <c r="Y123" s="93"/>
      <c r="Z123" s="93"/>
    </row>
    <row r="124" ht="43.5" customHeight="1">
      <c r="A124" s="30"/>
      <c r="B124" s="18"/>
      <c r="C124" s="19" t="s">
        <v>440</v>
      </c>
      <c r="D124" s="26"/>
      <c r="E124" s="31" t="s">
        <v>441</v>
      </c>
      <c r="F124" s="26">
        <v>211.0</v>
      </c>
      <c r="G124" s="26" t="s">
        <v>442</v>
      </c>
      <c r="H124" s="22">
        <v>8.809668466065E12</v>
      </c>
      <c r="I124" s="32">
        <v>1.880966846606E12</v>
      </c>
      <c r="J124" s="26" t="s">
        <v>35</v>
      </c>
      <c r="K124" s="26">
        <v>1.0</v>
      </c>
      <c r="L124" s="35" t="s">
        <v>36</v>
      </c>
      <c r="M124" s="35" t="s">
        <v>37</v>
      </c>
      <c r="N124" s="35" t="s">
        <v>38</v>
      </c>
      <c r="O124" s="35" t="s">
        <v>39</v>
      </c>
      <c r="P124" s="26">
        <v>10.0</v>
      </c>
      <c r="Q124" s="33">
        <v>40.0</v>
      </c>
      <c r="R124" s="26" t="s">
        <v>443</v>
      </c>
      <c r="S124" s="26">
        <v>4.699</v>
      </c>
      <c r="T124" s="26">
        <v>5.4</v>
      </c>
      <c r="U124" s="26" t="s">
        <v>41</v>
      </c>
      <c r="V124" s="34"/>
      <c r="X124" s="106"/>
      <c r="Y124" s="157"/>
      <c r="Z124" s="93"/>
    </row>
    <row r="125" ht="43.5" customHeight="1">
      <c r="A125" s="30"/>
      <c r="B125" s="36"/>
      <c r="C125" s="37" t="s">
        <v>444</v>
      </c>
      <c r="D125" s="38"/>
      <c r="E125" s="39" t="s">
        <v>445</v>
      </c>
      <c r="F125" s="38">
        <v>211.0</v>
      </c>
      <c r="G125" s="38" t="s">
        <v>446</v>
      </c>
      <c r="H125" s="22">
        <v>8.809668466072E12</v>
      </c>
      <c r="I125" s="41">
        <v>1.880966846607E12</v>
      </c>
      <c r="J125" s="38" t="s">
        <v>35</v>
      </c>
      <c r="K125" s="38">
        <v>1.0</v>
      </c>
      <c r="L125" s="42" t="s">
        <v>36</v>
      </c>
      <c r="M125" s="42" t="s">
        <v>37</v>
      </c>
      <c r="N125" s="42" t="s">
        <v>38</v>
      </c>
      <c r="O125" s="42" t="s">
        <v>39</v>
      </c>
      <c r="P125" s="38">
        <v>10.0</v>
      </c>
      <c r="Q125" s="43">
        <v>40.0</v>
      </c>
      <c r="R125" s="38" t="s">
        <v>447</v>
      </c>
      <c r="S125" s="38">
        <v>4.699</v>
      </c>
      <c r="T125" s="26">
        <v>5.4</v>
      </c>
      <c r="U125" s="26" t="s">
        <v>41</v>
      </c>
      <c r="V125" s="34"/>
      <c r="X125" s="92"/>
      <c r="Y125" s="93"/>
      <c r="Z125" s="93"/>
    </row>
    <row r="126" ht="43.5" customHeight="1">
      <c r="A126" s="158" t="s">
        <v>448</v>
      </c>
      <c r="B126" s="18"/>
      <c r="C126" s="19" t="s">
        <v>449</v>
      </c>
      <c r="D126" s="31"/>
      <c r="E126" s="31" t="s">
        <v>450</v>
      </c>
      <c r="F126" s="31">
        <v>211.0</v>
      </c>
      <c r="G126" s="31" t="s">
        <v>451</v>
      </c>
      <c r="H126" s="23">
        <v>8.809668466089E12</v>
      </c>
      <c r="I126" s="23">
        <v>1.880966846608E12</v>
      </c>
      <c r="J126" s="26" t="s">
        <v>35</v>
      </c>
      <c r="K126" s="31">
        <v>1.0</v>
      </c>
      <c r="L126" s="33" t="s">
        <v>36</v>
      </c>
      <c r="M126" s="33" t="s">
        <v>37</v>
      </c>
      <c r="N126" s="35" t="s">
        <v>38</v>
      </c>
      <c r="O126" s="35" t="s">
        <v>39</v>
      </c>
      <c r="P126" s="31">
        <v>20.0</v>
      </c>
      <c r="Q126" s="33">
        <v>25.0</v>
      </c>
      <c r="R126" s="26" t="s">
        <v>452</v>
      </c>
      <c r="S126" s="26">
        <v>4.699</v>
      </c>
      <c r="T126" s="20">
        <v>5.4</v>
      </c>
      <c r="U126" s="20" t="s">
        <v>41</v>
      </c>
      <c r="V126" s="27"/>
      <c r="X126" s="98"/>
      <c r="Y126" s="157"/>
      <c r="Z126" s="93"/>
    </row>
    <row r="127" ht="43.5" customHeight="1">
      <c r="A127" s="30"/>
      <c r="B127" s="18"/>
      <c r="C127" s="19" t="s">
        <v>453</v>
      </c>
      <c r="D127" s="31"/>
      <c r="E127" s="31" t="s">
        <v>454</v>
      </c>
      <c r="F127" s="31">
        <v>211.0</v>
      </c>
      <c r="G127" s="31" t="s">
        <v>455</v>
      </c>
      <c r="H127" s="32">
        <v>8.809668466096E12</v>
      </c>
      <c r="I127" s="32">
        <v>1.880966846609E12</v>
      </c>
      <c r="J127" s="26" t="s">
        <v>35</v>
      </c>
      <c r="K127" s="31">
        <v>1.0</v>
      </c>
      <c r="L127" s="33" t="s">
        <v>36</v>
      </c>
      <c r="M127" s="33" t="s">
        <v>37</v>
      </c>
      <c r="N127" s="35" t="s">
        <v>38</v>
      </c>
      <c r="O127" s="35" t="s">
        <v>39</v>
      </c>
      <c r="P127" s="31">
        <v>20.0</v>
      </c>
      <c r="Q127" s="33">
        <v>25.0</v>
      </c>
      <c r="R127" s="26" t="s">
        <v>456</v>
      </c>
      <c r="S127" s="26">
        <v>4.699</v>
      </c>
      <c r="T127" s="26">
        <v>5.4</v>
      </c>
      <c r="U127" s="26" t="s">
        <v>41</v>
      </c>
      <c r="V127" s="34"/>
      <c r="X127" s="98"/>
      <c r="Y127" s="157"/>
      <c r="Z127" s="93"/>
    </row>
    <row r="128" ht="43.5" customHeight="1">
      <c r="A128" s="30"/>
      <c r="B128" s="18"/>
      <c r="C128" s="19" t="s">
        <v>457</v>
      </c>
      <c r="D128" s="31"/>
      <c r="E128" s="31" t="s">
        <v>458</v>
      </c>
      <c r="F128" s="31">
        <v>211.0</v>
      </c>
      <c r="G128" s="31" t="s">
        <v>459</v>
      </c>
      <c r="H128" s="32">
        <v>8.809668466102E12</v>
      </c>
      <c r="I128" s="32">
        <v>1.88096684661E12</v>
      </c>
      <c r="J128" s="26" t="s">
        <v>35</v>
      </c>
      <c r="K128" s="31">
        <v>1.0</v>
      </c>
      <c r="L128" s="33" t="s">
        <v>36</v>
      </c>
      <c r="M128" s="33" t="s">
        <v>37</v>
      </c>
      <c r="N128" s="35" t="s">
        <v>38</v>
      </c>
      <c r="O128" s="35" t="s">
        <v>39</v>
      </c>
      <c r="P128" s="31">
        <v>20.0</v>
      </c>
      <c r="Q128" s="33">
        <v>25.0</v>
      </c>
      <c r="R128" s="26" t="s">
        <v>460</v>
      </c>
      <c r="S128" s="26">
        <v>4.699</v>
      </c>
      <c r="T128" s="26">
        <v>5.4</v>
      </c>
      <c r="U128" s="26" t="s">
        <v>41</v>
      </c>
      <c r="V128" s="34"/>
      <c r="X128" s="104"/>
      <c r="Y128" s="157"/>
      <c r="Z128" s="93"/>
    </row>
    <row r="129" ht="43.5" customHeight="1">
      <c r="A129" s="30"/>
      <c r="B129" s="36"/>
      <c r="C129" s="19" t="s">
        <v>461</v>
      </c>
      <c r="D129" s="31"/>
      <c r="E129" s="31" t="s">
        <v>462</v>
      </c>
      <c r="F129" s="31">
        <v>211.0</v>
      </c>
      <c r="G129" s="31" t="s">
        <v>463</v>
      </c>
      <c r="H129" s="41">
        <v>8.809668466119E12</v>
      </c>
      <c r="I129" s="41">
        <v>1.880966846611E12</v>
      </c>
      <c r="J129" s="26" t="s">
        <v>35</v>
      </c>
      <c r="K129" s="31">
        <v>1.0</v>
      </c>
      <c r="L129" s="33" t="s">
        <v>36</v>
      </c>
      <c r="M129" s="33" t="s">
        <v>37</v>
      </c>
      <c r="N129" s="35" t="s">
        <v>38</v>
      </c>
      <c r="O129" s="35" t="s">
        <v>39</v>
      </c>
      <c r="P129" s="31">
        <v>20.0</v>
      </c>
      <c r="Q129" s="33">
        <v>25.0</v>
      </c>
      <c r="R129" s="26" t="s">
        <v>464</v>
      </c>
      <c r="S129" s="26">
        <v>4.699</v>
      </c>
      <c r="T129" s="38">
        <v>5.4</v>
      </c>
      <c r="U129" s="38" t="s">
        <v>41</v>
      </c>
      <c r="V129" s="44"/>
      <c r="X129" s="121"/>
      <c r="Y129" s="157"/>
      <c r="Z129" s="93"/>
    </row>
    <row r="130" ht="43.5" customHeight="1">
      <c r="A130" s="159" t="s">
        <v>465</v>
      </c>
      <c r="B130" s="73"/>
      <c r="C130" s="51" t="s">
        <v>466</v>
      </c>
      <c r="D130" s="160"/>
      <c r="E130" s="140" t="s">
        <v>467</v>
      </c>
      <c r="F130" s="160">
        <v>211.0</v>
      </c>
      <c r="G130" s="52" t="s">
        <v>468</v>
      </c>
      <c r="H130" s="84">
        <v>8.809668466126E12</v>
      </c>
      <c r="I130" s="23">
        <v>1.880966846612E12</v>
      </c>
      <c r="J130" s="52" t="s">
        <v>35</v>
      </c>
      <c r="K130" s="161">
        <v>1.0</v>
      </c>
      <c r="L130" s="119" t="s">
        <v>36</v>
      </c>
      <c r="M130" s="119" t="s">
        <v>37</v>
      </c>
      <c r="N130" s="126" t="s">
        <v>38</v>
      </c>
      <c r="O130" s="119" t="s">
        <v>39</v>
      </c>
      <c r="P130" s="52">
        <v>10.0</v>
      </c>
      <c r="Q130" s="126">
        <v>40.0</v>
      </c>
      <c r="R130" s="52" t="s">
        <v>468</v>
      </c>
      <c r="S130" s="52">
        <v>4.699</v>
      </c>
      <c r="T130" s="52">
        <v>5.4</v>
      </c>
      <c r="U130" s="26" t="s">
        <v>41</v>
      </c>
      <c r="V130" s="34"/>
      <c r="X130" s="121"/>
      <c r="Y130" s="157"/>
      <c r="Z130" s="93"/>
    </row>
    <row r="131" ht="43.5" customHeight="1">
      <c r="A131" s="162"/>
      <c r="B131" s="163"/>
      <c r="C131" s="19" t="s">
        <v>469</v>
      </c>
      <c r="D131" s="164"/>
      <c r="E131" s="61" t="s">
        <v>470</v>
      </c>
      <c r="F131" s="47">
        <v>211.0</v>
      </c>
      <c r="G131" s="55" t="s">
        <v>468</v>
      </c>
      <c r="H131" s="45"/>
      <c r="I131" s="46"/>
      <c r="J131" s="55" t="s">
        <v>35</v>
      </c>
      <c r="K131" s="47">
        <v>1.0</v>
      </c>
      <c r="L131" s="48" t="s">
        <v>36</v>
      </c>
      <c r="M131" s="85" t="s">
        <v>37</v>
      </c>
      <c r="N131" s="48" t="s">
        <v>354</v>
      </c>
      <c r="O131" s="35" t="s">
        <v>355</v>
      </c>
      <c r="P131" s="26">
        <v>100.0</v>
      </c>
      <c r="Q131" s="33">
        <v>10.0</v>
      </c>
      <c r="R131" s="55" t="s">
        <v>468</v>
      </c>
      <c r="S131" s="47">
        <v>4.699</v>
      </c>
      <c r="T131" s="55">
        <v>5.4</v>
      </c>
      <c r="U131" s="26" t="s">
        <v>41</v>
      </c>
      <c r="V131" s="165"/>
      <c r="X131" s="121"/>
      <c r="Y131" s="157"/>
      <c r="Z131" s="93"/>
    </row>
    <row r="132" ht="43.5" customHeight="1">
      <c r="A132" s="162"/>
      <c r="B132" s="163"/>
      <c r="C132" s="166" t="s">
        <v>471</v>
      </c>
      <c r="D132" s="142">
        <v>3120.0</v>
      </c>
      <c r="E132" s="167" t="s">
        <v>472</v>
      </c>
      <c r="F132" s="142">
        <v>212.0</v>
      </c>
      <c r="G132" s="168" t="s">
        <v>468</v>
      </c>
      <c r="H132" s="84">
        <v>8.809668466133E12</v>
      </c>
      <c r="I132" s="32">
        <v>1.880966846613E12</v>
      </c>
      <c r="J132" s="169" t="s">
        <v>35</v>
      </c>
      <c r="K132" s="170">
        <v>2.0</v>
      </c>
      <c r="L132" s="168" t="s">
        <v>50</v>
      </c>
      <c r="M132" s="170" t="s">
        <v>51</v>
      </c>
      <c r="N132" s="48" t="s">
        <v>38</v>
      </c>
      <c r="O132" s="35" t="s">
        <v>345</v>
      </c>
      <c r="P132" s="168">
        <v>10.0</v>
      </c>
      <c r="Q132" s="143">
        <v>40.0</v>
      </c>
      <c r="R132" s="168" t="s">
        <v>468</v>
      </c>
      <c r="S132" s="170">
        <v>5.715</v>
      </c>
      <c r="T132" s="169">
        <v>5.41</v>
      </c>
      <c r="U132" s="170" t="s">
        <v>41</v>
      </c>
      <c r="V132" s="165"/>
      <c r="X132" s="107"/>
      <c r="Y132" s="157"/>
      <c r="Z132" s="93"/>
    </row>
    <row r="133" ht="43.5" customHeight="1">
      <c r="A133" s="162"/>
      <c r="B133" s="73"/>
      <c r="C133" s="19" t="s">
        <v>473</v>
      </c>
      <c r="D133" s="26">
        <v>3108.0</v>
      </c>
      <c r="E133" s="61" t="s">
        <v>474</v>
      </c>
      <c r="F133" s="26">
        <v>227.0</v>
      </c>
      <c r="G133" s="55" t="s">
        <v>468</v>
      </c>
      <c r="H133" s="22">
        <v>8.80966846614E12</v>
      </c>
      <c r="I133" s="32">
        <v>1.880966846614E12</v>
      </c>
      <c r="J133" s="55" t="s">
        <v>35</v>
      </c>
      <c r="K133" s="26">
        <v>14.0</v>
      </c>
      <c r="L133" s="48" t="s">
        <v>124</v>
      </c>
      <c r="M133" s="35" t="s">
        <v>125</v>
      </c>
      <c r="N133" s="48" t="s">
        <v>38</v>
      </c>
      <c r="O133" s="35" t="s">
        <v>39</v>
      </c>
      <c r="P133" s="168">
        <v>10.0</v>
      </c>
      <c r="Q133" s="143">
        <v>40.0</v>
      </c>
      <c r="R133" s="55" t="s">
        <v>468</v>
      </c>
      <c r="S133" s="26">
        <v>15.875</v>
      </c>
      <c r="T133" s="55">
        <v>5.086</v>
      </c>
      <c r="U133" s="26" t="s">
        <v>41</v>
      </c>
      <c r="V133" s="171"/>
    </row>
    <row r="134" ht="43.5" customHeight="1">
      <c r="A134" s="172"/>
      <c r="B134" s="173"/>
      <c r="C134" s="37" t="s">
        <v>475</v>
      </c>
      <c r="D134" s="38">
        <v>3105.0</v>
      </c>
      <c r="E134" s="80" t="s">
        <v>476</v>
      </c>
      <c r="F134" s="38">
        <v>237.0</v>
      </c>
      <c r="G134" s="58" t="s">
        <v>468</v>
      </c>
      <c r="H134" s="40">
        <v>8.809668466157E12</v>
      </c>
      <c r="I134" s="41">
        <v>1.880966846615E12</v>
      </c>
      <c r="J134" s="58" t="s">
        <v>35</v>
      </c>
      <c r="K134" s="38">
        <v>21.0</v>
      </c>
      <c r="L134" s="81" t="s">
        <v>142</v>
      </c>
      <c r="M134" s="42" t="s">
        <v>143</v>
      </c>
      <c r="N134" s="81" t="s">
        <v>38</v>
      </c>
      <c r="O134" s="42" t="s">
        <v>39</v>
      </c>
      <c r="P134" s="174">
        <v>10.0</v>
      </c>
      <c r="Q134" s="154">
        <v>40.0</v>
      </c>
      <c r="R134" s="58" t="s">
        <v>468</v>
      </c>
      <c r="S134" s="38">
        <v>15.875</v>
      </c>
      <c r="T134" s="58">
        <v>7.62</v>
      </c>
      <c r="U134" s="38" t="s">
        <v>41</v>
      </c>
      <c r="V134" s="175"/>
    </row>
    <row r="135">
      <c r="A135" s="2"/>
      <c r="B135" s="176"/>
      <c r="C135" s="176" t="s">
        <v>477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</row>
  </sheetData>
  <mergeCells count="33">
    <mergeCell ref="S2:T2"/>
    <mergeCell ref="U2:U3"/>
    <mergeCell ref="V2:V3"/>
    <mergeCell ref="X2:X3"/>
    <mergeCell ref="Y2:Z2"/>
    <mergeCell ref="H2:I2"/>
    <mergeCell ref="J2:J3"/>
    <mergeCell ref="K2:K3"/>
    <mergeCell ref="L2:L3"/>
    <mergeCell ref="M2:M3"/>
    <mergeCell ref="P2:P3"/>
    <mergeCell ref="R2:R3"/>
    <mergeCell ref="A2:A3"/>
    <mergeCell ref="B2:B3"/>
    <mergeCell ref="C2:C3"/>
    <mergeCell ref="D2:D3"/>
    <mergeCell ref="E2:E3"/>
    <mergeCell ref="F2:F3"/>
    <mergeCell ref="G2:G3"/>
    <mergeCell ref="A101:A106"/>
    <mergeCell ref="A107:A112"/>
    <mergeCell ref="A113:A118"/>
    <mergeCell ref="A119:A122"/>
    <mergeCell ref="A123:A125"/>
    <mergeCell ref="A126:A129"/>
    <mergeCell ref="A130:A134"/>
    <mergeCell ref="A4:A19"/>
    <mergeCell ref="A20:A41"/>
    <mergeCell ref="A42:A53"/>
    <mergeCell ref="A54:A81"/>
    <mergeCell ref="A82:A85"/>
    <mergeCell ref="A86:A91"/>
    <mergeCell ref="A92:A10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